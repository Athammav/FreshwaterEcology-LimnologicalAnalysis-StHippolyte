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ttawa-my.sharepoint.com/personal/nstep012_uottawa_ca/Documents/Freshwater Eco/"/>
    </mc:Choice>
  </mc:AlternateContent>
  <xr:revisionPtr revIDLastSave="0" documentId="8_{62B8E424-36AF-48DA-99D5-74995A883681}" xr6:coauthVersionLast="47" xr6:coauthVersionMax="47" xr10:uidLastSave="{00000000-0000-0000-0000-000000000000}"/>
  <bookViews>
    <workbookView xWindow="0" yWindow="720" windowWidth="14660" windowHeight="18400" firstSheet="1" activeTab="1" xr2:uid="{00000000-000D-0000-FFFF-FFFF00000000}"/>
  </bookViews>
  <sheets>
    <sheet name="Cromwell" sheetId="4" r:id="rId1"/>
    <sheet name="Croche" sheetId="1" r:id="rId2"/>
    <sheet name="Triton" sheetId="2" r:id="rId3"/>
    <sheet name="Geai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M15" i="3"/>
  <c r="M14" i="3"/>
  <c r="M13" i="3"/>
  <c r="M12" i="3"/>
  <c r="M11" i="3"/>
  <c r="C62" i="3"/>
  <c r="C59" i="3"/>
  <c r="C56" i="3"/>
  <c r="C53" i="3"/>
  <c r="C50" i="3"/>
  <c r="C47" i="3"/>
  <c r="M10" i="3" s="1"/>
  <c r="C41" i="3"/>
  <c r="M8" i="3" s="1"/>
  <c r="C44" i="3"/>
  <c r="M9" i="3" s="1"/>
  <c r="E71" i="4"/>
  <c r="E70" i="4"/>
  <c r="E69" i="4"/>
  <c r="E68" i="4"/>
  <c r="E67" i="4"/>
  <c r="E66" i="4"/>
  <c r="E65" i="4"/>
  <c r="E64" i="4"/>
  <c r="E63" i="4"/>
  <c r="E62" i="4"/>
  <c r="E61" i="4"/>
  <c r="E60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15" i="3"/>
  <c r="A14" i="3"/>
  <c r="A13" i="3"/>
  <c r="A12" i="3"/>
  <c r="A11" i="3"/>
  <c r="A10" i="3"/>
  <c r="A9" i="3"/>
</calcChain>
</file>

<file path=xl/sharedStrings.xml><?xml version="1.0" encoding="utf-8"?>
<sst xmlns="http://schemas.openxmlformats.org/spreadsheetml/2006/main" count="152" uniqueCount="44">
  <si>
    <t>Lac Cromwell</t>
  </si>
  <si>
    <t>Total</t>
  </si>
  <si>
    <t>Depth</t>
  </si>
  <si>
    <t>Light</t>
  </si>
  <si>
    <t>Temp</t>
  </si>
  <si>
    <t>Conductivity</t>
  </si>
  <si>
    <t>O2</t>
  </si>
  <si>
    <t>pH</t>
  </si>
  <si>
    <t>ORP</t>
  </si>
  <si>
    <t>Alcalinity</t>
  </si>
  <si>
    <t>Chl a</t>
  </si>
  <si>
    <t>Color</t>
  </si>
  <si>
    <t>Phosphorus</t>
  </si>
  <si>
    <t>Ferrous Iron</t>
  </si>
  <si>
    <t>Sulfide</t>
  </si>
  <si>
    <t>Sulfate</t>
  </si>
  <si>
    <t>Nitrate</t>
  </si>
  <si>
    <t>(m)</t>
  </si>
  <si>
    <t xml:space="preserve"> Celcius</t>
  </si>
  <si>
    <t xml:space="preserve"> (uS/cm)</t>
  </si>
  <si>
    <t xml:space="preserve"> (%SAT)</t>
  </si>
  <si>
    <t xml:space="preserve"> (mg/L)</t>
  </si>
  <si>
    <t>(mg/L CaCO3 eq)</t>
  </si>
  <si>
    <t xml:space="preserve"> (ug/L)</t>
  </si>
  <si>
    <t>abs 440 nm</t>
  </si>
  <si>
    <t>Air</t>
  </si>
  <si>
    <t>Secchi (m)</t>
  </si>
  <si>
    <t>Extinction</t>
  </si>
  <si>
    <t>Coefficient</t>
  </si>
  <si>
    <t>Light attenuation coefficient is 1.22 m-1</t>
  </si>
  <si>
    <t>Lac Croche</t>
  </si>
  <si>
    <t>Total Iron</t>
  </si>
  <si>
    <t>(mg/L)</t>
  </si>
  <si>
    <t>Surface</t>
  </si>
  <si>
    <t>-</t>
  </si>
  <si>
    <t>Lac Triton</t>
  </si>
  <si>
    <t>Lac Geai</t>
  </si>
  <si>
    <t>Another group has the data</t>
  </si>
  <si>
    <t>Phosphorus data</t>
  </si>
  <si>
    <t>Echantillon</t>
  </si>
  <si>
    <t>Replicat</t>
  </si>
  <si>
    <t>Concentration ug/L</t>
  </si>
  <si>
    <t>Surafce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</si>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</sst>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2" xfId="0" applyFont="1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0" borderId="0" xfId="0" applyFont="1"/>
    <xf numFmtId="0" fontId="2" fillId="0" borderId="1" xfId="0" applyFont="1" applyBorder="1"/>
    <xf numFmtId="0" fontId="2" fillId="0" borderId="3" xfId="0" applyFont="1" applyBorder="1"/>
    <xf numFmtId="0" fontId="5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0" fillId="2" borderId="0" xfId="0" applyFill="1"/>
    <xf numFmtId="0" fontId="3" fillId="0" borderId="0" xfId="0" applyFont="1"/>
    <xf numFmtId="164" fontId="0" fillId="0" borderId="0" xfId="0" applyNumberFormat="1"/>
    <xf numFmtId="0" fontId="2" fillId="3" borderId="0" xfId="0" applyFont="1" applyFill="1"/>
    <xf numFmtId="2" fontId="3" fillId="0" borderId="0" xfId="0" applyNumberFormat="1" applyFont="1"/>
    <xf numFmtId="49" fontId="3" fillId="0" borderId="0" xfId="0" applyNumberFormat="1" applyFont="1" applyAlignment="1">
      <alignment horizontal="right"/>
    </xf>
    <xf numFmtId="0" fontId="2" fillId="0" borderId="4" xfId="0" applyFont="1" applyBorder="1"/>
    <xf numFmtId="0" fontId="3" fillId="0" borderId="4" xfId="0" applyFont="1" applyBorder="1"/>
    <xf numFmtId="0" fontId="2" fillId="0" borderId="5" xfId="0" applyFont="1" applyBorder="1"/>
    <xf numFmtId="0" fontId="3" fillId="0" borderId="5" xfId="0" applyFont="1" applyBorder="1"/>
    <xf numFmtId="0" fontId="2" fillId="0" borderId="6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Cromwell!$D$8:$D$24</c:f>
              <c:numCache>
                <c:formatCode>General</c:formatCode>
                <c:ptCount val="17"/>
              </c:numCache>
            </c:numRef>
          </c:xVal>
          <c:yVal>
            <c:numRef>
              <c:f>Cromwell!$A$8:$A$24</c:f>
              <c:numCache>
                <c:formatCode>General</c:formatCode>
                <c:ptCount val="17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6-43A3-9E03-A4EC6019E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610624"/>
        <c:axId val="518607824"/>
      </c:scatterChart>
      <c:valAx>
        <c:axId val="518610624"/>
        <c:scaling>
          <c:orientation val="minMax"/>
          <c:max val="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07824"/>
        <c:crosses val="autoZero"/>
        <c:crossBetween val="midCat"/>
      </c:valAx>
      <c:valAx>
        <c:axId val="5186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1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O2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Cromwell!$G$8:$G$24</c:f>
              <c:numCache>
                <c:formatCode>General</c:formatCode>
                <c:ptCount val="17"/>
              </c:numCache>
            </c:numRef>
          </c:xVal>
          <c:yVal>
            <c:numRef>
              <c:f>Cromwell!$A$8:$A$24</c:f>
              <c:numCache>
                <c:formatCode>General</c:formatCode>
                <c:ptCount val="17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6-4A72-96A5-AD9AA9FA7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361056"/>
        <c:axId val="443360496"/>
      </c:scatterChart>
      <c:valAx>
        <c:axId val="443361056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60496"/>
        <c:crosses val="autoZero"/>
        <c:crossBetween val="midCat"/>
      </c:valAx>
      <c:valAx>
        <c:axId val="44336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6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O2 (%sat)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Cromwell!$F$8:$F$24</c:f>
              <c:numCache>
                <c:formatCode>General</c:formatCode>
                <c:ptCount val="17"/>
              </c:numCache>
            </c:numRef>
          </c:xVal>
          <c:yVal>
            <c:numRef>
              <c:f>Cromwell!$A$8:$A$24</c:f>
              <c:numCache>
                <c:formatCode>General</c:formatCode>
                <c:ptCount val="17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F5-4BB3-9E5A-44EAA66C5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328608"/>
        <c:axId val="443329168"/>
      </c:scatterChart>
      <c:valAx>
        <c:axId val="44332860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29168"/>
        <c:crosses val="autoZero"/>
        <c:crossBetween val="midCat"/>
      </c:valAx>
      <c:valAx>
        <c:axId val="44332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2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TP (ug/L)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Cromwell!$M$8:$M$24</c:f>
              <c:numCache>
                <c:formatCode>General</c:formatCode>
                <c:ptCount val="17"/>
              </c:numCache>
            </c:numRef>
          </c:xVal>
          <c:yVal>
            <c:numRef>
              <c:f>Cromwell!$A$8:$A$24</c:f>
              <c:numCache>
                <c:formatCode>General</c:formatCode>
                <c:ptCount val="17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5-4F77-BA29-8E3E326A4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935680"/>
        <c:axId val="443628832"/>
      </c:scatterChart>
      <c:valAx>
        <c:axId val="44193568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28832"/>
        <c:crosses val="autoZero"/>
        <c:crossBetween val="midCat"/>
      </c:valAx>
      <c:valAx>
        <c:axId val="44362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3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Fe2+ (ug/L)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Cromwell!$N$8:$N$24</c:f>
              <c:numCache>
                <c:formatCode>General</c:formatCode>
                <c:ptCount val="17"/>
              </c:numCache>
            </c:numRef>
          </c:xVal>
          <c:yVal>
            <c:numRef>
              <c:f>Cromwell!$A$8:$A$24</c:f>
              <c:numCache>
                <c:formatCode>General</c:formatCode>
                <c:ptCount val="17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E9-4C10-9E26-047A75DB9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939536"/>
        <c:axId val="516940096"/>
      </c:scatterChart>
      <c:valAx>
        <c:axId val="516939536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40096"/>
        <c:crosses val="autoZero"/>
        <c:crossBetween val="midCat"/>
      </c:valAx>
      <c:valAx>
        <c:axId val="5169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3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S2- (ug/L)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Cromwell!$O$8:$O$24</c:f>
              <c:numCache>
                <c:formatCode>General</c:formatCode>
                <c:ptCount val="17"/>
              </c:numCache>
            </c:numRef>
          </c:xVal>
          <c:yVal>
            <c:numRef>
              <c:f>Cromwell!$A$8:$A$24</c:f>
              <c:numCache>
                <c:formatCode>General</c:formatCode>
                <c:ptCount val="17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B9-4270-8FBE-2A36DBEE7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942896"/>
        <c:axId val="516943456"/>
      </c:scatterChart>
      <c:valAx>
        <c:axId val="516942896"/>
        <c:scaling>
          <c:orientation val="minMax"/>
          <c:max val="1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43456"/>
        <c:crosses val="autoZero"/>
        <c:crossBetween val="midCat"/>
      </c:valAx>
      <c:valAx>
        <c:axId val="51694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4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NO3 (ug/L)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Cromwell!$Q$8:$Q$24</c:f>
              <c:numCache>
                <c:formatCode>General</c:formatCode>
                <c:ptCount val="17"/>
              </c:numCache>
            </c:numRef>
          </c:xVal>
          <c:yVal>
            <c:numRef>
              <c:f>Cromwell!$A$8:$A$24</c:f>
              <c:numCache>
                <c:formatCode>General</c:formatCode>
                <c:ptCount val="17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9E-41C9-9452-D3B102FE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946256"/>
        <c:axId val="446201152"/>
      </c:scatterChart>
      <c:valAx>
        <c:axId val="516946256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01152"/>
        <c:crosses val="autoZero"/>
        <c:crossBetween val="midCat"/>
      </c:valAx>
      <c:valAx>
        <c:axId val="4462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4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Cromwell!$H$8:$H$24</c:f>
              <c:numCache>
                <c:formatCode>General</c:formatCode>
                <c:ptCount val="17"/>
              </c:numCache>
            </c:numRef>
          </c:xVal>
          <c:yVal>
            <c:numRef>
              <c:f>Cromwell!$A$8:$A$24</c:f>
              <c:numCache>
                <c:formatCode>General</c:formatCode>
                <c:ptCount val="17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07-4673-BC69-ABAC00F8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203952"/>
        <c:axId val="446204512"/>
      </c:scatterChart>
      <c:valAx>
        <c:axId val="446203952"/>
        <c:scaling>
          <c:orientation val="minMax"/>
          <c:max val="7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04512"/>
        <c:crosses val="autoZero"/>
        <c:crossBetween val="midCat"/>
      </c:valAx>
      <c:valAx>
        <c:axId val="4462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0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Light intensity vs Depth (m)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Cromwell!$B$8:$B$19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</c:numCache>
            </c:numRef>
          </c:xVal>
          <c:yVal>
            <c:numRef>
              <c:f>Cromwell!$C$8:$C$19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C7-4C2B-BADF-358A414D17B9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Cromwell!$B$8:$B$19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</c:numCache>
            </c:numRef>
          </c:xVal>
          <c:yVal>
            <c:numRef>
              <c:f>Cromwell!$C$8:$C$19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C7-4C2B-BADF-358A414D1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207872"/>
        <c:axId val="522968320"/>
      </c:scatterChart>
      <c:valAx>
        <c:axId val="44620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68320"/>
        <c:crosses val="autoZero"/>
        <c:crossBetween val="midCat"/>
      </c:valAx>
      <c:valAx>
        <c:axId val="52296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0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Ln Light intensity vs Depth (m)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267497812773406E-2"/>
                  <c:y val="-0.569900612423447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Cromwell!$B$8:$B$19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</c:numCache>
            </c:numRef>
          </c:xVal>
          <c:yVal>
            <c:numRef>
              <c:f>Cromwell!$E$60:$E$71</c:f>
              <c:numCache>
                <c:formatCode>General</c:formatCode>
                <c:ptCount val="12"/>
                <c:pt idx="0">
                  <c:v>6.19205569395168</c:v>
                </c:pt>
                <c:pt idx="1">
                  <c:v>5.3067814449601665</c:v>
                </c:pt>
                <c:pt idx="2">
                  <c:v>4.5839976207552908</c:v>
                </c:pt>
                <c:pt idx="3">
                  <c:v>4.3762600397795444</c:v>
                </c:pt>
                <c:pt idx="4">
                  <c:v>3.8265740435956634</c:v>
                </c:pt>
                <c:pt idx="5">
                  <c:v>3.0498652821339185</c:v>
                </c:pt>
                <c:pt idx="6">
                  <c:v>2.2240828648390885</c:v>
                </c:pt>
                <c:pt idx="7">
                  <c:v>1.6979065604217085</c:v>
                </c:pt>
                <c:pt idx="8">
                  <c:v>1.0260415958332743</c:v>
                </c:pt>
                <c:pt idx="9">
                  <c:v>0.46843990726955276</c:v>
                </c:pt>
                <c:pt idx="10">
                  <c:v>8.3881483980702234E-2</c:v>
                </c:pt>
                <c:pt idx="11">
                  <c:v>-0.649130295143171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C9-480E-81F3-37D8B57C1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061504"/>
        <c:axId val="523065424"/>
      </c:scatterChart>
      <c:valAx>
        <c:axId val="52306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65424"/>
        <c:crosses val="autoZero"/>
        <c:crossBetween val="midCat"/>
      </c:valAx>
      <c:valAx>
        <c:axId val="5230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6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Croche!$D$7:$D$27</c:f>
              <c:numCache>
                <c:formatCode>General</c:formatCode>
                <c:ptCount val="21"/>
              </c:numCache>
            </c:numRef>
          </c:xVal>
          <c:yVal>
            <c:numRef>
              <c:f>Croche!$A$7:$A$27</c:f>
              <c:numCache>
                <c:formatCode>General</c:formatCode>
                <c:ptCount val="21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  <c:pt idx="17">
                  <c:v>-8.5</c:v>
                </c:pt>
                <c:pt idx="18">
                  <c:v>-9</c:v>
                </c:pt>
                <c:pt idx="19">
                  <c:v>-10</c:v>
                </c:pt>
                <c:pt idx="20">
                  <c:v>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CF-411E-A4E3-17CD19BBD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892816"/>
        <c:axId val="449893376"/>
      </c:scatterChart>
      <c:valAx>
        <c:axId val="449892816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93376"/>
        <c:crosses val="autoZero"/>
        <c:crossBetween val="midCat"/>
      </c:valAx>
      <c:valAx>
        <c:axId val="44989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9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O2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Croche!$G$7:$G$27</c:f>
              <c:numCache>
                <c:formatCode>General</c:formatCode>
                <c:ptCount val="21"/>
              </c:numCache>
            </c:numRef>
          </c:xVal>
          <c:yVal>
            <c:numRef>
              <c:f>Croche!$A$7:$A$27</c:f>
              <c:numCache>
                <c:formatCode>General</c:formatCode>
                <c:ptCount val="21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  <c:pt idx="17">
                  <c:v>-8.5</c:v>
                </c:pt>
                <c:pt idx="18">
                  <c:v>-9</c:v>
                </c:pt>
                <c:pt idx="19">
                  <c:v>-10</c:v>
                </c:pt>
                <c:pt idx="20">
                  <c:v>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4-4E37-BF4B-B6FAE7B94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896176"/>
        <c:axId val="449898432"/>
      </c:scatterChart>
      <c:valAx>
        <c:axId val="449896176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98432"/>
        <c:crosses val="autoZero"/>
        <c:crossBetween val="midCat"/>
      </c:valAx>
      <c:valAx>
        <c:axId val="44989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9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O2 (%sat)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Croche!$F$7:$F$27</c:f>
              <c:numCache>
                <c:formatCode>General</c:formatCode>
                <c:ptCount val="21"/>
              </c:numCache>
            </c:numRef>
          </c:xVal>
          <c:yVal>
            <c:numRef>
              <c:f>Croche!$A$7:$A$27</c:f>
              <c:numCache>
                <c:formatCode>General</c:formatCode>
                <c:ptCount val="21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  <c:pt idx="17">
                  <c:v>-8.5</c:v>
                </c:pt>
                <c:pt idx="18">
                  <c:v>-9</c:v>
                </c:pt>
                <c:pt idx="19">
                  <c:v>-10</c:v>
                </c:pt>
                <c:pt idx="20">
                  <c:v>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1B-4F55-809F-D07CC7E35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901232"/>
        <c:axId val="449901792"/>
      </c:scatterChart>
      <c:valAx>
        <c:axId val="449901232"/>
        <c:scaling>
          <c:orientation val="minMax"/>
          <c:max val="10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01792"/>
        <c:crosses val="autoZero"/>
        <c:crossBetween val="midCat"/>
      </c:valAx>
      <c:valAx>
        <c:axId val="44990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0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TP (ug/L)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Croche!$M$7:$M$26</c:f>
              <c:numCache>
                <c:formatCode>0.00</c:formatCode>
                <c:ptCount val="20"/>
              </c:numCache>
            </c:numRef>
          </c:xVal>
          <c:yVal>
            <c:numRef>
              <c:f>Croche!$A$7:$A$27</c:f>
              <c:numCache>
                <c:formatCode>General</c:formatCode>
                <c:ptCount val="21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  <c:pt idx="17">
                  <c:v>-8.5</c:v>
                </c:pt>
                <c:pt idx="18">
                  <c:v>-9</c:v>
                </c:pt>
                <c:pt idx="19">
                  <c:v>-10</c:v>
                </c:pt>
                <c:pt idx="20">
                  <c:v>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7C-49CA-B45F-3F8ED7E58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218624"/>
        <c:axId val="439219184"/>
      </c:scatterChart>
      <c:valAx>
        <c:axId val="43921862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19184"/>
        <c:crosses val="autoZero"/>
        <c:crossBetween val="midCat"/>
        <c:majorUnit val="100"/>
        <c:minorUnit val="20"/>
      </c:valAx>
      <c:valAx>
        <c:axId val="43921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1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S2- (ug/L)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Croche!$O$7:$O$26</c:f>
              <c:numCache>
                <c:formatCode>General</c:formatCode>
                <c:ptCount val="20"/>
              </c:numCache>
            </c:numRef>
          </c:xVal>
          <c:yVal>
            <c:numRef>
              <c:f>Croche!$A$7:$A$27</c:f>
              <c:numCache>
                <c:formatCode>General</c:formatCode>
                <c:ptCount val="21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  <c:pt idx="17">
                  <c:v>-8.5</c:v>
                </c:pt>
                <c:pt idx="18">
                  <c:v>-9</c:v>
                </c:pt>
                <c:pt idx="19">
                  <c:v>-10</c:v>
                </c:pt>
                <c:pt idx="20">
                  <c:v>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0-45D0-A73D-80B51E61F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27712"/>
        <c:axId val="443628272"/>
      </c:scatterChart>
      <c:valAx>
        <c:axId val="443627712"/>
        <c:scaling>
          <c:orientation val="minMax"/>
          <c:max val="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28272"/>
        <c:crosses val="autoZero"/>
        <c:crossBetween val="midCat"/>
      </c:valAx>
      <c:valAx>
        <c:axId val="44362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2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Chl a (ug/L)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Croche!$K$7:$K$27</c:f>
              <c:numCache>
                <c:formatCode>0.00</c:formatCode>
                <c:ptCount val="21"/>
              </c:numCache>
            </c:numRef>
          </c:xVal>
          <c:yVal>
            <c:numRef>
              <c:f>Croche!$A$7:$A$27</c:f>
              <c:numCache>
                <c:formatCode>General</c:formatCode>
                <c:ptCount val="21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  <c:pt idx="17">
                  <c:v>-8.5</c:v>
                </c:pt>
                <c:pt idx="18">
                  <c:v>-9</c:v>
                </c:pt>
                <c:pt idx="19">
                  <c:v>-10</c:v>
                </c:pt>
                <c:pt idx="20">
                  <c:v>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9B-4254-BF61-B4EFF7813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874416"/>
        <c:axId val="437874976"/>
      </c:scatterChart>
      <c:valAx>
        <c:axId val="437874416"/>
        <c:scaling>
          <c:orientation val="minMax"/>
          <c:max val="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74976"/>
        <c:crosses val="autoZero"/>
        <c:crossBetween val="midCat"/>
      </c:valAx>
      <c:valAx>
        <c:axId val="4378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Croche!$H$7:$H$27</c:f>
              <c:numCache>
                <c:formatCode>General</c:formatCode>
                <c:ptCount val="21"/>
              </c:numCache>
            </c:numRef>
          </c:xVal>
          <c:yVal>
            <c:numRef>
              <c:f>Croche!$A$7:$A$27</c:f>
              <c:numCache>
                <c:formatCode>General</c:formatCode>
                <c:ptCount val="21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  <c:pt idx="17">
                  <c:v>-8.5</c:v>
                </c:pt>
                <c:pt idx="18">
                  <c:v>-9</c:v>
                </c:pt>
                <c:pt idx="19">
                  <c:v>-10</c:v>
                </c:pt>
                <c:pt idx="20">
                  <c:v>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5-40B6-A7F8-8399D3FC8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771040"/>
        <c:axId val="443771600"/>
      </c:scatterChart>
      <c:valAx>
        <c:axId val="443771040"/>
        <c:scaling>
          <c:orientation val="minMax"/>
          <c:max val="7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771600"/>
        <c:crosses val="autoZero"/>
        <c:crossBetween val="midCat"/>
      </c:valAx>
      <c:valAx>
        <c:axId val="4437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77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Croche!$I$7:$I$27</c:f>
              <c:numCache>
                <c:formatCode>General</c:formatCode>
                <c:ptCount val="21"/>
              </c:numCache>
            </c:numRef>
          </c:xVal>
          <c:yVal>
            <c:numRef>
              <c:f>Croche!$A$7:$A$27</c:f>
              <c:numCache>
                <c:formatCode>General</c:formatCode>
                <c:ptCount val="21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  <c:pt idx="17">
                  <c:v>-8.5</c:v>
                </c:pt>
                <c:pt idx="18">
                  <c:v>-9</c:v>
                </c:pt>
                <c:pt idx="19">
                  <c:v>-10</c:v>
                </c:pt>
                <c:pt idx="20">
                  <c:v>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4-4C38-89FD-1F4124BE8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959264"/>
        <c:axId val="522953104"/>
      </c:scatterChart>
      <c:valAx>
        <c:axId val="522959264"/>
        <c:scaling>
          <c:orientation val="minMax"/>
          <c:max val="20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53104"/>
        <c:crosses val="autoZero"/>
        <c:crossBetween val="midCat"/>
      </c:valAx>
      <c:valAx>
        <c:axId val="52295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5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Geai!$D$8:$D$16</c:f>
              <c:numCache>
                <c:formatCode>General</c:formatCode>
                <c:ptCount val="9"/>
                <c:pt idx="0">
                  <c:v>15.9</c:v>
                </c:pt>
                <c:pt idx="1">
                  <c:v>15.7</c:v>
                </c:pt>
                <c:pt idx="2">
                  <c:v>15.5</c:v>
                </c:pt>
                <c:pt idx="3">
                  <c:v>11.5</c:v>
                </c:pt>
                <c:pt idx="4">
                  <c:v>7.6</c:v>
                </c:pt>
                <c:pt idx="5">
                  <c:v>5.8</c:v>
                </c:pt>
                <c:pt idx="6">
                  <c:v>5.3</c:v>
                </c:pt>
                <c:pt idx="7">
                  <c:v>5.3</c:v>
                </c:pt>
              </c:numCache>
            </c:numRef>
          </c:xVal>
          <c:yVal>
            <c:numRef>
              <c:f>Geai!$A$8:$A$16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8-489A-AF50-52FE20C0A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08272"/>
        <c:axId val="312707712"/>
      </c:scatterChart>
      <c:valAx>
        <c:axId val="312708272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707712"/>
        <c:crosses val="autoZero"/>
        <c:crossBetween val="midCat"/>
      </c:valAx>
      <c:valAx>
        <c:axId val="31270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70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O2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Geai!$G$8:$G$16</c:f>
              <c:numCache>
                <c:formatCode>General</c:formatCode>
                <c:ptCount val="9"/>
                <c:pt idx="0">
                  <c:v>6.5</c:v>
                </c:pt>
                <c:pt idx="1">
                  <c:v>6.5</c:v>
                </c:pt>
                <c:pt idx="2">
                  <c:v>6.4</c:v>
                </c:pt>
                <c:pt idx="3">
                  <c:v>0.11</c:v>
                </c:pt>
                <c:pt idx="4">
                  <c:v>0.1</c:v>
                </c:pt>
                <c:pt idx="5">
                  <c:v>0.1</c:v>
                </c:pt>
                <c:pt idx="6">
                  <c:v>0.08</c:v>
                </c:pt>
                <c:pt idx="7">
                  <c:v>0.11</c:v>
                </c:pt>
              </c:numCache>
            </c:numRef>
          </c:xVal>
          <c:yVal>
            <c:numRef>
              <c:f>Geai!$A$8:$A$16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0E-4C4B-B91C-F80C56DF2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298832"/>
        <c:axId val="326298272"/>
      </c:scatterChart>
      <c:valAx>
        <c:axId val="32629883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98272"/>
        <c:crosses val="autoZero"/>
        <c:crossBetween val="midCat"/>
      </c:valAx>
      <c:valAx>
        <c:axId val="32629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9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O2 (%sat)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Geai!$F$8:$F$16</c:f>
              <c:numCache>
                <c:formatCode>General</c:formatCode>
                <c:ptCount val="9"/>
                <c:pt idx="0">
                  <c:v>66.5</c:v>
                </c:pt>
                <c:pt idx="1">
                  <c:v>64.5</c:v>
                </c:pt>
                <c:pt idx="2">
                  <c:v>63.5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0.9</c:v>
                </c:pt>
              </c:numCache>
            </c:numRef>
          </c:xVal>
          <c:yVal>
            <c:numRef>
              <c:f>Geai!$A$8:$A$16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0-4B02-A30F-97A33858B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306112"/>
        <c:axId val="326292672"/>
      </c:scatterChart>
      <c:valAx>
        <c:axId val="32630611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92672"/>
        <c:crosses val="autoZero"/>
        <c:crossBetween val="midCat"/>
      </c:valAx>
      <c:valAx>
        <c:axId val="3262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0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TP (ug/L)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Geai!$M$8:$M$16</c:f>
              <c:numCache>
                <c:formatCode>0.00</c:formatCode>
                <c:ptCount val="9"/>
                <c:pt idx="0">
                  <c:v>13.136166666666668</c:v>
                </c:pt>
                <c:pt idx="1">
                  <c:v>14.035820000000001</c:v>
                </c:pt>
                <c:pt idx="2">
                  <c:v>12.156599999999999</c:v>
                </c:pt>
                <c:pt idx="3">
                  <c:v>17.1846</c:v>
                </c:pt>
                <c:pt idx="4">
                  <c:v>36.077000000000005</c:v>
                </c:pt>
                <c:pt idx="5">
                  <c:v>100.45123333333333</c:v>
                </c:pt>
                <c:pt idx="6">
                  <c:v>91.304899999999989</c:v>
                </c:pt>
                <c:pt idx="7">
                  <c:v>135.93703333333335</c:v>
                </c:pt>
              </c:numCache>
            </c:numRef>
          </c:xVal>
          <c:yVal>
            <c:numRef>
              <c:f>Geai!$A$8:$A$16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63-4E39-904C-2A18018B3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249744"/>
        <c:axId val="442250304"/>
      </c:scatterChart>
      <c:valAx>
        <c:axId val="44224974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50304"/>
        <c:crosses val="autoZero"/>
        <c:crossBetween val="midCat"/>
      </c:valAx>
      <c:valAx>
        <c:axId val="4422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4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Fe2+ (ug/L)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Geai!$N$8:$N$16</c:f>
              <c:numCache>
                <c:formatCode>General</c:formatCode>
                <c:ptCount val="9"/>
                <c:pt idx="0">
                  <c:v>0.03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0.36</c:v>
                </c:pt>
                <c:pt idx="6">
                  <c:v>0.14000000000000001</c:v>
                </c:pt>
                <c:pt idx="7">
                  <c:v>0.24</c:v>
                </c:pt>
              </c:numCache>
            </c:numRef>
          </c:xVal>
          <c:yVal>
            <c:numRef>
              <c:f>Geai!$A$8:$A$16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DE-4BCC-8441-02525F4AC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359936"/>
        <c:axId val="442365216"/>
      </c:scatterChart>
      <c:valAx>
        <c:axId val="443359936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65216"/>
        <c:crosses val="autoZero"/>
        <c:crossBetween val="midCat"/>
      </c:valAx>
      <c:valAx>
        <c:axId val="4423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5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S2- (ug/L)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Geai!$O$8:$O$16</c:f>
              <c:numCache>
                <c:formatCode>General</c:formatCode>
                <c:ptCount val="9"/>
                <c:pt idx="0">
                  <c:v>34</c:v>
                </c:pt>
                <c:pt idx="1">
                  <c:v>14</c:v>
                </c:pt>
                <c:pt idx="2">
                  <c:v>18</c:v>
                </c:pt>
                <c:pt idx="3">
                  <c:v>25</c:v>
                </c:pt>
                <c:pt idx="4">
                  <c:v>24</c:v>
                </c:pt>
                <c:pt idx="5">
                  <c:v>26</c:v>
                </c:pt>
                <c:pt idx="6">
                  <c:v>30</c:v>
                </c:pt>
                <c:pt idx="7">
                  <c:v>28</c:v>
                </c:pt>
              </c:numCache>
            </c:numRef>
          </c:xVal>
          <c:yVal>
            <c:numRef>
              <c:f>Geai!$A$8:$A$16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E8-4C04-822D-E65EE9F47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332464"/>
        <c:axId val="442333024"/>
      </c:scatterChart>
      <c:valAx>
        <c:axId val="442332464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33024"/>
        <c:crosses val="autoZero"/>
        <c:crossBetween val="midCat"/>
      </c:valAx>
      <c:valAx>
        <c:axId val="44233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32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NO3 (ug/L)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Geai!$Q$8:$Q$16</c:f>
              <c:numCache>
                <c:formatCode>General</c:formatCode>
                <c:ptCount val="9"/>
                <c:pt idx="0">
                  <c:v>0.4</c:v>
                </c:pt>
                <c:pt idx="1">
                  <c:v>0.41</c:v>
                </c:pt>
                <c:pt idx="2">
                  <c:v>0.35</c:v>
                </c:pt>
                <c:pt idx="3">
                  <c:v>0.38</c:v>
                </c:pt>
                <c:pt idx="4">
                  <c:v>0.39</c:v>
                </c:pt>
                <c:pt idx="5">
                  <c:v>0.38</c:v>
                </c:pt>
                <c:pt idx="6">
                  <c:v>0.42</c:v>
                </c:pt>
                <c:pt idx="7">
                  <c:v>0.42</c:v>
                </c:pt>
              </c:numCache>
            </c:numRef>
          </c:xVal>
          <c:yVal>
            <c:numRef>
              <c:f>Geai!$A$8:$A$16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B2-41C0-86C2-932B0DC89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455136"/>
        <c:axId val="441454016"/>
      </c:scatterChart>
      <c:valAx>
        <c:axId val="441455136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54016"/>
        <c:crosses val="autoZero"/>
        <c:crossBetween val="midCat"/>
      </c:valAx>
      <c:valAx>
        <c:axId val="44145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5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Geai!$H$8:$H$16</c:f>
              <c:numCache>
                <c:formatCode>General</c:formatCode>
                <c:ptCount val="9"/>
                <c:pt idx="0">
                  <c:v>7.45</c:v>
                </c:pt>
                <c:pt idx="1">
                  <c:v>6.66</c:v>
                </c:pt>
                <c:pt idx="2">
                  <c:v>6.27</c:v>
                </c:pt>
                <c:pt idx="3">
                  <c:v>5.68</c:v>
                </c:pt>
                <c:pt idx="4">
                  <c:v>5.41</c:v>
                </c:pt>
                <c:pt idx="5">
                  <c:v>5.36</c:v>
                </c:pt>
                <c:pt idx="6">
                  <c:v>5.43</c:v>
                </c:pt>
                <c:pt idx="7">
                  <c:v>5.51</c:v>
                </c:pt>
              </c:numCache>
            </c:numRef>
          </c:xVal>
          <c:yVal>
            <c:numRef>
              <c:f>Geai!$A$8:$A$16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BD-4CA3-8C9B-DB6848A7B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331904"/>
        <c:axId val="442077056"/>
      </c:scatterChart>
      <c:valAx>
        <c:axId val="442331904"/>
        <c:scaling>
          <c:orientation val="minMax"/>
          <c:max val="7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077056"/>
        <c:crosses val="autoZero"/>
        <c:crossBetween val="midCat"/>
      </c:valAx>
      <c:valAx>
        <c:axId val="44207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3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27</xdr:row>
      <xdr:rowOff>0</xdr:rowOff>
    </xdr:from>
    <xdr:to>
      <xdr:col>7</xdr:col>
      <xdr:colOff>533400</xdr:colOff>
      <xdr:row>43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533399</xdr:colOff>
      <xdr:row>27</xdr:row>
      <xdr:rowOff>0</xdr:rowOff>
    </xdr:from>
    <xdr:to>
      <xdr:col>10</xdr:col>
      <xdr:colOff>85724</xdr:colOff>
      <xdr:row>43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95249</xdr:colOff>
      <xdr:row>27</xdr:row>
      <xdr:rowOff>0</xdr:rowOff>
    </xdr:from>
    <xdr:to>
      <xdr:col>12</xdr:col>
      <xdr:colOff>438149</xdr:colOff>
      <xdr:row>43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447674</xdr:colOff>
      <xdr:row>27</xdr:row>
      <xdr:rowOff>9525</xdr:rowOff>
    </xdr:from>
    <xdr:to>
      <xdr:col>14</xdr:col>
      <xdr:colOff>590549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600074</xdr:colOff>
      <xdr:row>27</xdr:row>
      <xdr:rowOff>9525</xdr:rowOff>
    </xdr:from>
    <xdr:to>
      <xdr:col>17</xdr:col>
      <xdr:colOff>142874</xdr:colOff>
      <xdr:row>44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152399</xdr:colOff>
      <xdr:row>27</xdr:row>
      <xdr:rowOff>9525</xdr:rowOff>
    </xdr:from>
    <xdr:to>
      <xdr:col>19</xdr:col>
      <xdr:colOff>457199</xdr:colOff>
      <xdr:row>44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457199</xdr:colOff>
      <xdr:row>27</xdr:row>
      <xdr:rowOff>9525</xdr:rowOff>
    </xdr:from>
    <xdr:to>
      <xdr:col>21</xdr:col>
      <xdr:colOff>761999</xdr:colOff>
      <xdr:row>44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9524</xdr:colOff>
      <xdr:row>27</xdr:row>
      <xdr:rowOff>0</xdr:rowOff>
    </xdr:from>
    <xdr:to>
      <xdr:col>24</xdr:col>
      <xdr:colOff>314324</xdr:colOff>
      <xdr:row>43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100012</xdr:colOff>
      <xdr:row>45</xdr:row>
      <xdr:rowOff>104775</xdr:rowOff>
    </xdr:from>
    <xdr:to>
      <xdr:col>11</xdr:col>
      <xdr:colOff>338137</xdr:colOff>
      <xdr:row>63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333375</xdr:colOff>
      <xdr:row>45</xdr:row>
      <xdr:rowOff>114300</xdr:rowOff>
    </xdr:from>
    <xdr:to>
      <xdr:col>17</xdr:col>
      <xdr:colOff>209550</xdr:colOff>
      <xdr:row>63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32</xdr:row>
      <xdr:rowOff>0</xdr:rowOff>
    </xdr:from>
    <xdr:to>
      <xdr:col>5</xdr:col>
      <xdr:colOff>180975</xdr:colOff>
      <xdr:row>48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180974</xdr:colOff>
      <xdr:row>32</xdr:row>
      <xdr:rowOff>0</xdr:rowOff>
    </xdr:from>
    <xdr:to>
      <xdr:col>8</xdr:col>
      <xdr:colOff>161924</xdr:colOff>
      <xdr:row>48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171449</xdr:colOff>
      <xdr:row>32</xdr:row>
      <xdr:rowOff>0</xdr:rowOff>
    </xdr:from>
    <xdr:to>
      <xdr:col>10</xdr:col>
      <xdr:colOff>600074</xdr:colOff>
      <xdr:row>48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609599</xdr:colOff>
      <xdr:row>32</xdr:row>
      <xdr:rowOff>9525</xdr:rowOff>
    </xdr:from>
    <xdr:to>
      <xdr:col>13</xdr:col>
      <xdr:colOff>104774</xdr:colOff>
      <xdr:row>48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114299</xdr:colOff>
      <xdr:row>32</xdr:row>
      <xdr:rowOff>9525</xdr:rowOff>
    </xdr:from>
    <xdr:to>
      <xdr:col>15</xdr:col>
      <xdr:colOff>323849</xdr:colOff>
      <xdr:row>48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342899</xdr:colOff>
      <xdr:row>32</xdr:row>
      <xdr:rowOff>9525</xdr:rowOff>
    </xdr:from>
    <xdr:to>
      <xdr:col>17</xdr:col>
      <xdr:colOff>647699</xdr:colOff>
      <xdr:row>48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666749</xdr:colOff>
      <xdr:row>32</xdr:row>
      <xdr:rowOff>0</xdr:rowOff>
    </xdr:from>
    <xdr:to>
      <xdr:col>20</xdr:col>
      <xdr:colOff>209549</xdr:colOff>
      <xdr:row>48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209550</xdr:colOff>
      <xdr:row>32</xdr:row>
      <xdr:rowOff>9525</xdr:rowOff>
    </xdr:from>
    <xdr:to>
      <xdr:col>22</xdr:col>
      <xdr:colOff>514350</xdr:colOff>
      <xdr:row>48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19</xdr:row>
      <xdr:rowOff>0</xdr:rowOff>
    </xdr:from>
    <xdr:to>
      <xdr:col>4</xdr:col>
      <xdr:colOff>342901</xdr:colOff>
      <xdr:row>35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19</xdr:row>
      <xdr:rowOff>0</xdr:rowOff>
    </xdr:from>
    <xdr:to>
      <xdr:col>6</xdr:col>
      <xdr:colOff>590550</xdr:colOff>
      <xdr:row>35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600075</xdr:colOff>
      <xdr:row>19</xdr:row>
      <xdr:rowOff>0</xdr:rowOff>
    </xdr:from>
    <xdr:to>
      <xdr:col>9</xdr:col>
      <xdr:colOff>295275</xdr:colOff>
      <xdr:row>35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304800</xdr:colOff>
      <xdr:row>19</xdr:row>
      <xdr:rowOff>9525</xdr:rowOff>
    </xdr:from>
    <xdr:to>
      <xdr:col>11</xdr:col>
      <xdr:colOff>609600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619125</xdr:colOff>
      <xdr:row>19</xdr:row>
      <xdr:rowOff>9525</xdr:rowOff>
    </xdr:from>
    <xdr:to>
      <xdr:col>14</xdr:col>
      <xdr:colOff>66675</xdr:colOff>
      <xdr:row>36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76200</xdr:colOff>
      <xdr:row>19</xdr:row>
      <xdr:rowOff>9525</xdr:rowOff>
    </xdr:from>
    <xdr:to>
      <xdr:col>16</xdr:col>
      <xdr:colOff>381000</xdr:colOff>
      <xdr:row>36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381000</xdr:colOff>
      <xdr:row>19</xdr:row>
      <xdr:rowOff>9525</xdr:rowOff>
    </xdr:from>
    <xdr:to>
      <xdr:col>18</xdr:col>
      <xdr:colOff>685800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695325</xdr:colOff>
      <xdr:row>19</xdr:row>
      <xdr:rowOff>0</xdr:rowOff>
    </xdr:from>
    <xdr:to>
      <xdr:col>21</xdr:col>
      <xdr:colOff>238125</xdr:colOff>
      <xdr:row>35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workbookViewId="0">
      <pane xSplit="2" ySplit="3" topLeftCell="C4" activePane="bottomRight" state="frozen"/>
      <selection pane="bottomRight" activeCell="A14" sqref="A14"/>
      <selection pane="bottomLeft" activeCell="A5" sqref="A5"/>
      <selection pane="topRight" activeCell="C1" sqref="C1"/>
    </sheetView>
  </sheetViews>
  <sheetFormatPr defaultColWidth="11.42578125" defaultRowHeight="12.95"/>
  <cols>
    <col min="1" max="1" width="12.7109375" style="5" customWidth="1"/>
    <col min="2" max="2" width="11.42578125" style="5"/>
    <col min="3" max="3" width="10.42578125" style="5" customWidth="1"/>
    <col min="4" max="4" width="12.28515625" style="5" bestFit="1" customWidth="1"/>
    <col min="5" max="5" width="12.42578125" style="5" customWidth="1"/>
    <col min="6" max="6" width="10.140625" style="5" customWidth="1"/>
    <col min="7" max="7" width="9.28515625" style="5" customWidth="1"/>
    <col min="8" max="8" width="8.28515625" style="5" customWidth="1"/>
    <col min="9" max="9" width="9.42578125" style="5" customWidth="1"/>
    <col min="10" max="10" width="16.28515625" style="5" customWidth="1"/>
    <col min="11" max="11" width="11.42578125" style="5"/>
    <col min="12" max="12" width="10.85546875" style="5" customWidth="1"/>
    <col min="13" max="13" width="12.85546875" style="5" customWidth="1"/>
    <col min="14" max="14" width="12.42578125" style="5" customWidth="1"/>
    <col min="15" max="16384" width="11.42578125" style="5"/>
  </cols>
  <sheetData>
    <row r="1" spans="1:20" s="4" customFormat="1" ht="20.100000000000001">
      <c r="A1" s="9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spans="1:20" s="4" customForma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s="4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1</v>
      </c>
      <c r="N4" s="1"/>
      <c r="O4" s="1"/>
      <c r="P4" s="1"/>
      <c r="Q4" s="1"/>
    </row>
    <row r="5" spans="1:20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20">
      <c r="A6" s="1"/>
      <c r="B6" s="1" t="s">
        <v>17</v>
      </c>
      <c r="C6" s="1"/>
      <c r="D6" s="1" t="s">
        <v>18</v>
      </c>
      <c r="E6" s="1" t="s">
        <v>19</v>
      </c>
      <c r="F6" s="1" t="s">
        <v>20</v>
      </c>
      <c r="G6" s="1" t="s">
        <v>21</v>
      </c>
      <c r="H6" s="1"/>
      <c r="I6" s="1"/>
      <c r="J6" s="1" t="s">
        <v>22</v>
      </c>
      <c r="K6" s="1" t="s">
        <v>23</v>
      </c>
      <c r="L6" s="1" t="s">
        <v>24</v>
      </c>
      <c r="M6" s="1" t="s">
        <v>23</v>
      </c>
      <c r="N6" s="1"/>
      <c r="O6" s="1"/>
      <c r="P6" s="1"/>
      <c r="Q6" s="1"/>
    </row>
    <row r="7" spans="1:20">
      <c r="A7"/>
      <c r="B7" s="1" t="s">
        <v>25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 spans="1:20">
      <c r="A8">
        <v>0</v>
      </c>
      <c r="B8" s="1">
        <v>0</v>
      </c>
      <c r="C8"/>
      <c r="D8"/>
      <c r="E8"/>
      <c r="F8"/>
      <c r="G8"/>
      <c r="H8"/>
      <c r="I8"/>
      <c r="J8" s="13"/>
      <c r="K8"/>
      <c r="L8"/>
      <c r="M8"/>
      <c r="N8"/>
      <c r="O8"/>
      <c r="P8"/>
      <c r="Q8"/>
    </row>
    <row r="9" spans="1:20">
      <c r="A9">
        <f>-B9</f>
        <v>-0.5</v>
      </c>
      <c r="B9" s="1">
        <v>0.5</v>
      </c>
      <c r="C9"/>
      <c r="E9"/>
      <c r="F9"/>
      <c r="G9"/>
      <c r="H9"/>
      <c r="I9"/>
      <c r="J9" s="13"/>
      <c r="M9"/>
    </row>
    <row r="10" spans="1:20">
      <c r="A10">
        <f t="shared" ref="A10:A24" si="0">-B10</f>
        <v>-1</v>
      </c>
      <c r="B10" s="1">
        <v>1</v>
      </c>
      <c r="C10"/>
      <c r="D10"/>
      <c r="E10"/>
      <c r="F10"/>
      <c r="G10"/>
      <c r="H10"/>
      <c r="I10"/>
      <c r="J10" s="13"/>
      <c r="K10"/>
      <c r="L10"/>
      <c r="M10"/>
      <c r="N10"/>
      <c r="O10"/>
      <c r="P10"/>
      <c r="Q10"/>
    </row>
    <row r="11" spans="1:20">
      <c r="A11">
        <f t="shared" si="0"/>
        <v>-1.5</v>
      </c>
      <c r="B11" s="1">
        <v>1.5</v>
      </c>
      <c r="C11"/>
      <c r="D11"/>
      <c r="E11"/>
      <c r="F11"/>
      <c r="G11"/>
      <c r="H11"/>
      <c r="I11"/>
      <c r="J11" s="13"/>
      <c r="M11"/>
    </row>
    <row r="12" spans="1:20">
      <c r="A12">
        <f t="shared" si="0"/>
        <v>-2</v>
      </c>
      <c r="B12" s="1">
        <v>2</v>
      </c>
      <c r="C12"/>
      <c r="D12"/>
      <c r="E12"/>
      <c r="F12"/>
      <c r="G12"/>
      <c r="H12"/>
      <c r="I12"/>
      <c r="J12" s="13"/>
      <c r="K12"/>
      <c r="L12"/>
      <c r="M12"/>
      <c r="N12"/>
      <c r="O12"/>
      <c r="P12"/>
      <c r="Q12"/>
    </row>
    <row r="13" spans="1:20">
      <c r="A13">
        <f t="shared" si="0"/>
        <v>-2.5</v>
      </c>
      <c r="B13" s="1">
        <v>2.5</v>
      </c>
      <c r="C13"/>
      <c r="D13"/>
      <c r="E13"/>
      <c r="F13"/>
      <c r="G13"/>
      <c r="H13"/>
      <c r="I13"/>
      <c r="J13" s="13"/>
    </row>
    <row r="14" spans="1:20">
      <c r="A14">
        <f t="shared" si="0"/>
        <v>-3</v>
      </c>
      <c r="B14" s="1">
        <v>3</v>
      </c>
      <c r="C14"/>
      <c r="D14"/>
      <c r="E14"/>
      <c r="F14"/>
      <c r="G14"/>
      <c r="H14"/>
      <c r="I14"/>
      <c r="J14" s="13"/>
      <c r="K14"/>
      <c r="L14"/>
      <c r="M14"/>
      <c r="N14"/>
      <c r="O14"/>
      <c r="P14"/>
      <c r="Q14"/>
      <c r="T14" s="6"/>
    </row>
    <row r="15" spans="1:20">
      <c r="A15">
        <f t="shared" si="0"/>
        <v>-3.5</v>
      </c>
      <c r="B15" s="1">
        <v>3.5</v>
      </c>
      <c r="C15"/>
      <c r="D15"/>
      <c r="E15"/>
      <c r="F15"/>
      <c r="G15"/>
      <c r="H15"/>
      <c r="I15"/>
      <c r="J15" s="13"/>
      <c r="R15" s="4"/>
    </row>
    <row r="16" spans="1:20">
      <c r="A16">
        <f t="shared" si="0"/>
        <v>-4</v>
      </c>
      <c r="B16" s="1">
        <v>4</v>
      </c>
      <c r="C16"/>
      <c r="D16"/>
      <c r="E16"/>
      <c r="F16"/>
      <c r="G16"/>
      <c r="H16"/>
      <c r="I16"/>
      <c r="J16" s="13"/>
      <c r="K16"/>
      <c r="L16"/>
      <c r="M16"/>
      <c r="N16"/>
      <c r="O16"/>
      <c r="P16"/>
      <c r="Q16"/>
      <c r="R16" s="4"/>
    </row>
    <row r="17" spans="1:18">
      <c r="A17">
        <f t="shared" si="0"/>
        <v>-4.5</v>
      </c>
      <c r="B17" s="1">
        <v>4.5</v>
      </c>
      <c r="C17"/>
      <c r="D17"/>
      <c r="E17"/>
      <c r="F17"/>
      <c r="G17"/>
      <c r="H17"/>
      <c r="I17"/>
      <c r="J17" s="13"/>
      <c r="K17"/>
      <c r="L17"/>
      <c r="M17"/>
      <c r="O17"/>
      <c r="P17"/>
      <c r="Q17"/>
      <c r="R17" s="4"/>
    </row>
    <row r="18" spans="1:18">
      <c r="A18">
        <f t="shared" si="0"/>
        <v>-5</v>
      </c>
      <c r="B18" s="1">
        <v>5</v>
      </c>
      <c r="C18"/>
      <c r="D18"/>
      <c r="E18"/>
      <c r="F18"/>
      <c r="G18"/>
      <c r="H18"/>
      <c r="I18"/>
      <c r="J18" s="13"/>
      <c r="K18"/>
      <c r="L18"/>
      <c r="M18"/>
      <c r="N18"/>
      <c r="O18"/>
      <c r="P18"/>
      <c r="Q18"/>
      <c r="R18" s="4"/>
    </row>
    <row r="19" spans="1:18">
      <c r="A19">
        <f t="shared" si="0"/>
        <v>-5.5</v>
      </c>
      <c r="B19" s="1">
        <v>5.5</v>
      </c>
      <c r="C19"/>
      <c r="D19"/>
      <c r="E19"/>
      <c r="F19"/>
      <c r="G19"/>
      <c r="H19"/>
      <c r="I19"/>
      <c r="J19" s="13"/>
      <c r="K19"/>
      <c r="L19"/>
      <c r="M19"/>
      <c r="O19"/>
      <c r="P19"/>
      <c r="Q19"/>
      <c r="R19" s="4"/>
    </row>
    <row r="20" spans="1:18">
      <c r="A20">
        <f t="shared" si="0"/>
        <v>-6</v>
      </c>
      <c r="B20" s="1">
        <v>6</v>
      </c>
      <c r="C20"/>
      <c r="D20"/>
      <c r="E20"/>
      <c r="F20"/>
      <c r="G20"/>
      <c r="H20"/>
      <c r="I20"/>
      <c r="J20" s="13"/>
      <c r="K20"/>
      <c r="L20"/>
      <c r="M20"/>
      <c r="N20"/>
      <c r="O20"/>
      <c r="P20"/>
      <c r="Q20"/>
      <c r="R20" s="4"/>
    </row>
    <row r="21" spans="1:18">
      <c r="A21">
        <f t="shared" si="0"/>
        <v>-6.5</v>
      </c>
      <c r="B21" s="1">
        <v>6.5</v>
      </c>
      <c r="C21"/>
      <c r="D21"/>
      <c r="E21"/>
      <c r="F21"/>
      <c r="G21"/>
      <c r="H21"/>
      <c r="I21"/>
      <c r="J21" s="13"/>
      <c r="K21"/>
      <c r="L21"/>
      <c r="M21"/>
      <c r="O21"/>
      <c r="P21"/>
      <c r="Q21"/>
      <c r="R21" s="4"/>
    </row>
    <row r="22" spans="1:18">
      <c r="A22">
        <f t="shared" si="0"/>
        <v>-7</v>
      </c>
      <c r="B22" s="1">
        <v>7</v>
      </c>
      <c r="C22"/>
      <c r="D22"/>
      <c r="E22"/>
      <c r="F22"/>
      <c r="G22"/>
      <c r="H22"/>
      <c r="I22"/>
      <c r="J22" s="13"/>
      <c r="K22"/>
      <c r="L22"/>
      <c r="M22"/>
      <c r="N22"/>
      <c r="O22"/>
      <c r="P22"/>
      <c r="Q22"/>
    </row>
    <row r="23" spans="1:18">
      <c r="A23">
        <f t="shared" si="0"/>
        <v>-7.5</v>
      </c>
      <c r="B23" s="1">
        <v>7.5</v>
      </c>
      <c r="C23"/>
      <c r="D23"/>
      <c r="E23"/>
      <c r="F23"/>
      <c r="G23"/>
      <c r="H23"/>
      <c r="I23"/>
      <c r="J23" s="13"/>
      <c r="K23"/>
      <c r="L23"/>
      <c r="M23"/>
      <c r="O23"/>
      <c r="P23"/>
      <c r="Q23"/>
    </row>
    <row r="24" spans="1:18">
      <c r="A24">
        <f t="shared" si="0"/>
        <v>-8</v>
      </c>
      <c r="B24" s="1">
        <v>8</v>
      </c>
      <c r="C24"/>
      <c r="D24"/>
      <c r="E24"/>
      <c r="F24"/>
      <c r="G24"/>
      <c r="H24"/>
      <c r="I24"/>
      <c r="J24" s="13"/>
      <c r="K24"/>
      <c r="L24"/>
      <c r="M24"/>
      <c r="N24"/>
      <c r="O24"/>
      <c r="P24"/>
      <c r="Q24"/>
    </row>
    <row r="25" spans="1:18">
      <c r="A25" s="10" t="s">
        <v>26</v>
      </c>
      <c r="B25" s="7"/>
      <c r="C25"/>
      <c r="D25"/>
      <c r="E25"/>
      <c r="F25"/>
      <c r="G25"/>
      <c r="H25"/>
      <c r="I25"/>
      <c r="J25" s="13"/>
      <c r="K25"/>
      <c r="L25"/>
      <c r="M25"/>
      <c r="N25"/>
      <c r="O25"/>
      <c r="P25"/>
      <c r="Q25"/>
    </row>
    <row r="26" spans="1:18">
      <c r="A26" s="2" t="s">
        <v>27</v>
      </c>
      <c r="B26" s="8"/>
      <c r="C26"/>
      <c r="D26"/>
      <c r="E26"/>
      <c r="G26"/>
      <c r="H26"/>
      <c r="I26"/>
      <c r="J26"/>
      <c r="K26"/>
      <c r="L26"/>
      <c r="M26"/>
      <c r="N26"/>
      <c r="O26"/>
      <c r="P26"/>
      <c r="Q26"/>
    </row>
    <row r="27" spans="1:18">
      <c r="A27" s="11" t="s">
        <v>28</v>
      </c>
      <c r="B27" s="3"/>
      <c r="C27"/>
      <c r="D27"/>
      <c r="E27"/>
      <c r="G27"/>
      <c r="H27"/>
      <c r="I27"/>
      <c r="J27"/>
      <c r="K27"/>
      <c r="L27"/>
      <c r="M27"/>
      <c r="N27"/>
      <c r="O27"/>
      <c r="P27"/>
      <c r="Q27"/>
    </row>
    <row r="28" spans="1:18">
      <c r="A28"/>
      <c r="B28"/>
      <c r="C28"/>
      <c r="D28"/>
      <c r="E28"/>
      <c r="G28"/>
      <c r="H28"/>
      <c r="I28"/>
      <c r="J28"/>
      <c r="K28"/>
      <c r="L28"/>
      <c r="M28"/>
      <c r="N28"/>
      <c r="O28"/>
      <c r="P28"/>
      <c r="Q28"/>
    </row>
    <row r="29" spans="1:18">
      <c r="A29"/>
      <c r="B29"/>
      <c r="C29"/>
      <c r="D29"/>
      <c r="E29"/>
      <c r="G29"/>
      <c r="H29"/>
      <c r="I29"/>
      <c r="J29"/>
      <c r="K29"/>
      <c r="L29"/>
      <c r="M29"/>
      <c r="N29"/>
      <c r="O29"/>
      <c r="P29"/>
      <c r="Q29"/>
    </row>
    <row r="30" spans="1:18">
      <c r="J30"/>
      <c r="K30"/>
    </row>
    <row r="31" spans="1:18">
      <c r="K31"/>
    </row>
    <row r="60" spans="3:5">
      <c r="C60" s="1">
        <v>0</v>
      </c>
      <c r="D60">
        <v>488.84999999999997</v>
      </c>
      <c r="E60" s="5">
        <f>LN(D60)</f>
        <v>6.19205569395168</v>
      </c>
    </row>
    <row r="61" spans="3:5">
      <c r="C61" s="1">
        <v>0.5</v>
      </c>
      <c r="D61">
        <v>201.7</v>
      </c>
      <c r="E61" s="5">
        <f t="shared" ref="E61:E71" si="1">LN(D61)</f>
        <v>5.3067814449601665</v>
      </c>
    </row>
    <row r="62" spans="3:5">
      <c r="C62" s="1">
        <v>1</v>
      </c>
      <c r="D62">
        <v>97.905000000000001</v>
      </c>
      <c r="E62" s="5">
        <f t="shared" si="1"/>
        <v>4.5839976207552908</v>
      </c>
    </row>
    <row r="63" spans="3:5">
      <c r="C63" s="1">
        <v>1.5</v>
      </c>
      <c r="D63">
        <v>79.539999999999992</v>
      </c>
      <c r="E63" s="5">
        <f t="shared" si="1"/>
        <v>4.3762600397795444</v>
      </c>
    </row>
    <row r="64" spans="3:5">
      <c r="C64" s="1">
        <v>2</v>
      </c>
      <c r="D64">
        <v>45.905000000000001</v>
      </c>
      <c r="E64" s="5">
        <f t="shared" si="1"/>
        <v>3.8265740435956634</v>
      </c>
    </row>
    <row r="65" spans="3:15">
      <c r="C65" s="1">
        <v>2.5</v>
      </c>
      <c r="D65">
        <v>21.112499999999997</v>
      </c>
      <c r="E65" s="5">
        <f t="shared" si="1"/>
        <v>3.0498652821339185</v>
      </c>
    </row>
    <row r="66" spans="3:15">
      <c r="C66" s="1">
        <v>3</v>
      </c>
      <c r="D66">
        <v>9.245000000000001</v>
      </c>
      <c r="E66" s="5">
        <f t="shared" si="1"/>
        <v>2.2240828648390885</v>
      </c>
      <c r="O66" s="5" t="s">
        <v>29</v>
      </c>
    </row>
    <row r="67" spans="3:15">
      <c r="C67" s="1">
        <v>3.5</v>
      </c>
      <c r="D67">
        <v>5.4624999999999995</v>
      </c>
      <c r="E67" s="5">
        <f t="shared" si="1"/>
        <v>1.6979065604217085</v>
      </c>
    </row>
    <row r="68" spans="3:15">
      <c r="C68" s="1">
        <v>4</v>
      </c>
      <c r="D68">
        <v>2.79</v>
      </c>
      <c r="E68" s="5">
        <f t="shared" si="1"/>
        <v>1.0260415958332743</v>
      </c>
    </row>
    <row r="69" spans="3:15">
      <c r="C69" s="1">
        <v>4.5</v>
      </c>
      <c r="D69">
        <v>1.5974999999999999</v>
      </c>
      <c r="E69" s="5">
        <f t="shared" si="1"/>
        <v>0.46843990726955276</v>
      </c>
    </row>
    <row r="70" spans="3:15">
      <c r="C70" s="1">
        <v>5</v>
      </c>
      <c r="D70">
        <v>1.0875000000000001</v>
      </c>
      <c r="E70" s="5">
        <f t="shared" si="1"/>
        <v>8.3881483980702234E-2</v>
      </c>
    </row>
    <row r="71" spans="3:15">
      <c r="C71" s="1">
        <v>5.5</v>
      </c>
      <c r="D71">
        <v>0.52249999999999996</v>
      </c>
      <c r="E71" s="5">
        <f t="shared" si="1"/>
        <v>-0.649130295143171</v>
      </c>
    </row>
  </sheetData>
  <phoneticPr fontId="1" type="noConversion"/>
  <pageMargins left="0.75" right="0.75" top="1" bottom="1" header="0.4921259845" footer="0.492125984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4"/>
  <sheetViews>
    <sheetView tabSelected="1" workbookViewId="0">
      <pane xSplit="2" ySplit="6" topLeftCell="F7" activePane="bottomRight" state="frozen"/>
      <selection pane="bottomRight" activeCell="J11" sqref="J11"/>
      <selection pane="bottomLeft" activeCell="M4" sqref="M4"/>
      <selection pane="topRight" activeCell="M4" sqref="M4"/>
    </sheetView>
  </sheetViews>
  <sheetFormatPr defaultColWidth="11.42578125" defaultRowHeight="12.95"/>
  <cols>
    <col min="1" max="1" width="12.7109375" style="1" customWidth="1"/>
    <col min="2" max="2" width="11.42578125" style="1"/>
    <col min="3" max="3" width="10.42578125" customWidth="1"/>
    <col min="4" max="4" width="12.28515625" bestFit="1" customWidth="1"/>
    <col min="5" max="5" width="12.42578125" customWidth="1"/>
    <col min="6" max="6" width="10.140625" customWidth="1"/>
    <col min="7" max="7" width="9.28515625" customWidth="1"/>
    <col min="8" max="8" width="8.28515625" customWidth="1"/>
    <col min="9" max="9" width="9.42578125" customWidth="1"/>
    <col min="11" max="11" width="11" customWidth="1"/>
    <col min="13" max="13" width="12.42578125" bestFit="1" customWidth="1"/>
    <col min="14" max="14" width="12.85546875" customWidth="1"/>
  </cols>
  <sheetData>
    <row r="1" spans="1:18" ht="24.95">
      <c r="A1" s="12" t="s">
        <v>30</v>
      </c>
    </row>
    <row r="3" spans="1:18" s="1" customFormat="1">
      <c r="M3" s="1" t="s">
        <v>1</v>
      </c>
    </row>
    <row r="4" spans="1:18" s="1" customFormat="1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31</v>
      </c>
    </row>
    <row r="5" spans="1:18" s="1" customFormat="1">
      <c r="B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J5" s="1" t="s">
        <v>22</v>
      </c>
      <c r="K5" s="1" t="s">
        <v>23</v>
      </c>
      <c r="L5" s="1" t="s">
        <v>24</v>
      </c>
      <c r="M5" s="1" t="s">
        <v>23</v>
      </c>
      <c r="N5" s="1" t="s">
        <v>32</v>
      </c>
      <c r="O5" s="1" t="s">
        <v>32</v>
      </c>
      <c r="P5" s="1" t="s">
        <v>32</v>
      </c>
      <c r="R5" s="1" t="s">
        <v>32</v>
      </c>
    </row>
    <row r="6" spans="1:18">
      <c r="A6" s="16"/>
      <c r="B6" s="1" t="s">
        <v>25</v>
      </c>
      <c r="C6" s="16"/>
      <c r="D6" s="16"/>
      <c r="E6" s="16"/>
      <c r="F6" s="16"/>
      <c r="G6" s="16"/>
      <c r="H6" s="16"/>
      <c r="I6" s="16"/>
      <c r="K6" s="16"/>
      <c r="N6" s="16"/>
    </row>
    <row r="7" spans="1:18">
      <c r="A7" s="16">
        <v>0</v>
      </c>
      <c r="B7" s="1" t="s">
        <v>33</v>
      </c>
      <c r="C7" s="16"/>
      <c r="D7" s="16"/>
      <c r="E7" s="16"/>
      <c r="F7" s="16"/>
      <c r="G7" s="16"/>
      <c r="H7" s="16"/>
      <c r="I7" s="16"/>
      <c r="K7" s="19"/>
      <c r="L7" s="16"/>
      <c r="M7" s="14"/>
      <c r="N7" s="16"/>
      <c r="P7" s="16"/>
    </row>
    <row r="8" spans="1:18">
      <c r="A8" s="16">
        <v>-0.5</v>
      </c>
      <c r="B8" s="1">
        <v>0.5</v>
      </c>
      <c r="C8" s="16" t="s">
        <v>34</v>
      </c>
      <c r="D8" s="16"/>
      <c r="E8" s="16"/>
      <c r="F8" s="16"/>
      <c r="G8" s="16"/>
      <c r="H8" s="16"/>
      <c r="I8" s="16"/>
      <c r="K8" s="14"/>
      <c r="L8" s="16"/>
      <c r="M8" s="14"/>
      <c r="N8" s="16"/>
      <c r="P8" s="16"/>
      <c r="R8" s="16"/>
    </row>
    <row r="9" spans="1:18">
      <c r="A9" s="16">
        <f>-B9:B10</f>
        <v>-1</v>
      </c>
      <c r="B9" s="1">
        <v>1</v>
      </c>
      <c r="C9" s="16"/>
      <c r="D9" s="16"/>
      <c r="E9" s="16"/>
      <c r="F9" s="16"/>
      <c r="G9" s="16"/>
      <c r="H9" s="16"/>
      <c r="I9" s="16"/>
      <c r="J9" s="16"/>
      <c r="K9" s="19"/>
      <c r="L9" s="16"/>
      <c r="M9" s="14"/>
      <c r="N9" s="16"/>
      <c r="P9" s="16"/>
      <c r="R9" s="16"/>
    </row>
    <row r="10" spans="1:18">
      <c r="A10" s="16">
        <f t="shared" ref="A10:A27" si="0">-B10:B11</f>
        <v>-1.5</v>
      </c>
      <c r="B10" s="1">
        <v>1.5</v>
      </c>
      <c r="C10" s="16" t="s">
        <v>34</v>
      </c>
      <c r="D10" s="16"/>
      <c r="E10" s="16"/>
      <c r="F10" s="16"/>
      <c r="G10" s="16"/>
      <c r="H10" s="16"/>
      <c r="I10" s="16"/>
      <c r="K10" s="14"/>
      <c r="L10" s="16"/>
      <c r="M10" s="14"/>
      <c r="N10" s="16"/>
      <c r="P10" s="16"/>
      <c r="R10" s="16"/>
    </row>
    <row r="11" spans="1:18">
      <c r="A11" s="16">
        <f t="shared" si="0"/>
        <v>-2</v>
      </c>
      <c r="B11" s="1">
        <v>2</v>
      </c>
      <c r="C11" s="16"/>
      <c r="D11" s="16"/>
      <c r="E11" s="16"/>
      <c r="F11" s="16"/>
      <c r="G11" s="16"/>
      <c r="H11" s="16"/>
      <c r="I11" s="16"/>
      <c r="J11" s="16"/>
      <c r="K11" s="19"/>
      <c r="L11" s="16"/>
      <c r="M11" s="14"/>
      <c r="N11" s="16"/>
      <c r="P11" s="16"/>
      <c r="R11" s="16"/>
    </row>
    <row r="12" spans="1:18">
      <c r="A12" s="16">
        <f t="shared" si="0"/>
        <v>-2.5</v>
      </c>
      <c r="B12" s="1">
        <v>2.5</v>
      </c>
      <c r="C12" s="16"/>
      <c r="D12" s="16"/>
      <c r="E12" s="16"/>
      <c r="F12" s="16"/>
      <c r="G12" s="16"/>
      <c r="H12" s="16"/>
      <c r="I12" s="16"/>
      <c r="K12" s="14"/>
      <c r="L12" s="16"/>
      <c r="M12" s="14"/>
      <c r="N12" s="16"/>
      <c r="P12" s="16"/>
      <c r="R12" s="16"/>
    </row>
    <row r="13" spans="1:18">
      <c r="A13" s="16">
        <f t="shared" si="0"/>
        <v>-3</v>
      </c>
      <c r="B13" s="1">
        <v>3</v>
      </c>
      <c r="C13" s="16"/>
      <c r="D13" s="16"/>
      <c r="E13" s="16"/>
      <c r="F13" s="16"/>
      <c r="G13" s="16"/>
      <c r="H13" s="16"/>
      <c r="I13" s="16"/>
      <c r="J13" s="16"/>
      <c r="K13" s="14"/>
      <c r="L13" s="16"/>
      <c r="M13" s="14"/>
      <c r="N13" s="16"/>
      <c r="P13" s="16"/>
      <c r="R13" s="16"/>
    </row>
    <row r="14" spans="1:18">
      <c r="A14" s="16">
        <f t="shared" si="0"/>
        <v>-3.5</v>
      </c>
      <c r="B14" s="1">
        <v>3.5</v>
      </c>
      <c r="C14" s="16" t="s">
        <v>34</v>
      </c>
      <c r="D14" s="16"/>
      <c r="E14" s="16"/>
      <c r="F14" s="16"/>
      <c r="G14" s="16"/>
      <c r="H14" s="16"/>
      <c r="I14" s="16"/>
      <c r="K14" s="14"/>
      <c r="L14" s="16"/>
      <c r="M14" s="14"/>
      <c r="N14" s="16"/>
      <c r="P14" s="16"/>
      <c r="R14" s="16"/>
    </row>
    <row r="15" spans="1:18">
      <c r="A15" s="16">
        <f t="shared" si="0"/>
        <v>-4</v>
      </c>
      <c r="B15" s="1">
        <v>4</v>
      </c>
      <c r="C15" s="16"/>
      <c r="D15" s="16"/>
      <c r="E15" s="16"/>
      <c r="F15" s="16"/>
      <c r="G15" s="16"/>
      <c r="H15" s="16"/>
      <c r="I15" s="16"/>
      <c r="J15" s="16"/>
      <c r="K15" s="19"/>
      <c r="L15" s="16"/>
      <c r="M15" s="14"/>
      <c r="N15" s="16"/>
      <c r="P15" s="16"/>
      <c r="R15" s="16"/>
    </row>
    <row r="16" spans="1:18">
      <c r="A16" s="16">
        <f t="shared" si="0"/>
        <v>-4.5</v>
      </c>
      <c r="B16" s="1">
        <v>4.5</v>
      </c>
      <c r="C16" s="16" t="s">
        <v>34</v>
      </c>
      <c r="D16" s="16"/>
      <c r="E16" s="16"/>
      <c r="F16" s="16"/>
      <c r="G16" s="16"/>
      <c r="H16" s="16"/>
      <c r="I16" s="16"/>
      <c r="K16" s="14"/>
      <c r="L16" s="16"/>
      <c r="M16" s="14"/>
      <c r="N16" s="16"/>
      <c r="P16" s="16"/>
      <c r="R16" s="16"/>
    </row>
    <row r="17" spans="1:18">
      <c r="A17" s="16">
        <f t="shared" si="0"/>
        <v>-5</v>
      </c>
      <c r="B17" s="1">
        <v>5</v>
      </c>
      <c r="C17" s="16"/>
      <c r="D17" s="16"/>
      <c r="E17" s="16"/>
      <c r="F17" s="16"/>
      <c r="G17" s="16"/>
      <c r="H17" s="16"/>
      <c r="I17" s="16"/>
      <c r="J17" s="16"/>
      <c r="K17" s="14"/>
      <c r="L17" s="16"/>
      <c r="M17" s="14"/>
      <c r="N17" s="16"/>
      <c r="P17" s="16"/>
      <c r="R17" s="16"/>
    </row>
    <row r="18" spans="1:18">
      <c r="A18" s="16">
        <f t="shared" si="0"/>
        <v>-5.5</v>
      </c>
      <c r="B18" s="1">
        <v>5.5</v>
      </c>
      <c r="C18" s="16" t="s">
        <v>34</v>
      </c>
      <c r="D18" s="16"/>
      <c r="E18" s="16"/>
      <c r="F18" s="16"/>
      <c r="G18" s="16"/>
      <c r="H18" s="16"/>
      <c r="I18" s="16"/>
      <c r="K18" s="14"/>
      <c r="L18" s="16"/>
      <c r="M18" s="14"/>
      <c r="N18" s="16"/>
      <c r="P18" s="16"/>
      <c r="R18" s="16"/>
    </row>
    <row r="19" spans="1:18">
      <c r="A19" s="16">
        <f t="shared" si="0"/>
        <v>-6</v>
      </c>
      <c r="B19" s="1">
        <v>6</v>
      </c>
      <c r="C19" s="16"/>
      <c r="D19" s="16"/>
      <c r="E19" s="16"/>
      <c r="F19" s="16"/>
      <c r="G19" s="16"/>
      <c r="H19" s="16"/>
      <c r="I19" s="16"/>
      <c r="K19" s="19"/>
      <c r="L19" s="16"/>
      <c r="M19" s="14"/>
      <c r="N19" s="16"/>
      <c r="P19" s="16"/>
      <c r="R19" s="16"/>
    </row>
    <row r="20" spans="1:18">
      <c r="A20" s="16">
        <f t="shared" si="0"/>
        <v>-6.5</v>
      </c>
      <c r="B20" s="1">
        <v>6.5</v>
      </c>
      <c r="C20" s="16"/>
      <c r="D20" s="16"/>
      <c r="E20" s="16"/>
      <c r="F20" s="16"/>
      <c r="G20" s="16"/>
      <c r="H20" s="16"/>
      <c r="I20" s="16"/>
      <c r="K20" s="19"/>
      <c r="L20" s="16"/>
      <c r="M20" s="14"/>
      <c r="N20" s="16"/>
      <c r="P20" s="16"/>
      <c r="R20" s="16"/>
    </row>
    <row r="21" spans="1:18">
      <c r="A21" s="16">
        <f t="shared" si="0"/>
        <v>-7</v>
      </c>
      <c r="B21" s="1">
        <v>7</v>
      </c>
      <c r="C21" s="16"/>
      <c r="D21" s="16"/>
      <c r="E21" s="16"/>
      <c r="F21" s="16"/>
      <c r="G21" s="16"/>
      <c r="H21" s="16"/>
      <c r="I21" s="16"/>
      <c r="K21" s="14"/>
      <c r="L21" s="16"/>
      <c r="M21" s="14"/>
      <c r="N21" s="16"/>
      <c r="P21" s="16"/>
      <c r="R21" s="16"/>
    </row>
    <row r="22" spans="1:18">
      <c r="A22" s="16">
        <f t="shared" si="0"/>
        <v>-7.5</v>
      </c>
      <c r="B22" s="1">
        <v>7.5</v>
      </c>
      <c r="C22" s="16" t="s">
        <v>34</v>
      </c>
      <c r="D22" s="16"/>
      <c r="E22" s="16"/>
      <c r="F22" s="16"/>
      <c r="G22" s="16"/>
      <c r="H22" s="16"/>
      <c r="I22" s="16"/>
      <c r="K22" s="19"/>
      <c r="L22" s="16"/>
      <c r="M22" s="14"/>
      <c r="N22" s="16"/>
      <c r="P22" s="16"/>
      <c r="R22" s="16"/>
    </row>
    <row r="23" spans="1:18">
      <c r="A23" s="16">
        <f t="shared" si="0"/>
        <v>-8</v>
      </c>
      <c r="B23" s="1">
        <v>8</v>
      </c>
      <c r="C23" s="16"/>
      <c r="D23" s="16"/>
      <c r="E23" s="16"/>
      <c r="F23" s="16"/>
      <c r="G23" s="16"/>
      <c r="H23" s="16"/>
      <c r="I23" s="16"/>
      <c r="K23" s="19"/>
      <c r="L23" s="16"/>
      <c r="M23" s="14"/>
      <c r="N23" s="20"/>
      <c r="P23" s="16"/>
      <c r="R23" s="16"/>
    </row>
    <row r="24" spans="1:18">
      <c r="A24" s="16">
        <f t="shared" si="0"/>
        <v>-8.5</v>
      </c>
      <c r="B24" s="1">
        <v>8.5</v>
      </c>
      <c r="C24" s="16" t="s">
        <v>34</v>
      </c>
      <c r="D24" s="16"/>
      <c r="E24" s="16"/>
      <c r="F24" s="16"/>
      <c r="G24" s="16"/>
      <c r="H24" s="16"/>
      <c r="I24" s="16"/>
      <c r="K24" s="19"/>
      <c r="L24" s="16"/>
      <c r="M24" s="14"/>
      <c r="N24" s="20"/>
      <c r="P24" s="16"/>
      <c r="R24" s="16"/>
    </row>
    <row r="25" spans="1:18">
      <c r="A25" s="16">
        <f t="shared" si="0"/>
        <v>-9</v>
      </c>
      <c r="B25" s="1">
        <v>9</v>
      </c>
      <c r="C25" s="16" t="s">
        <v>34</v>
      </c>
      <c r="D25" s="16"/>
      <c r="E25" s="16"/>
      <c r="F25" s="16"/>
      <c r="G25" s="16"/>
      <c r="H25" s="16"/>
      <c r="I25" s="16"/>
      <c r="K25" s="14"/>
      <c r="L25" s="16"/>
      <c r="M25" s="14"/>
      <c r="N25" s="16"/>
      <c r="P25" s="16"/>
      <c r="R25" s="16"/>
    </row>
    <row r="26" spans="1:18">
      <c r="A26" s="16">
        <f t="shared" si="0"/>
        <v>-10</v>
      </c>
      <c r="B26" s="1">
        <v>10</v>
      </c>
      <c r="C26" s="16" t="s">
        <v>34</v>
      </c>
      <c r="D26" s="16"/>
      <c r="E26" s="16"/>
      <c r="F26" s="16"/>
      <c r="G26" s="16"/>
      <c r="H26" s="16"/>
      <c r="I26" s="16"/>
      <c r="K26" s="19"/>
      <c r="L26" s="16"/>
      <c r="M26" s="14"/>
      <c r="N26" s="16"/>
      <c r="P26" s="16"/>
      <c r="R26" s="16"/>
    </row>
    <row r="27" spans="1:18">
      <c r="A27" s="16">
        <f t="shared" si="0"/>
        <v>-11</v>
      </c>
      <c r="B27" s="1">
        <v>11</v>
      </c>
      <c r="C27" s="16" t="s">
        <v>34</v>
      </c>
      <c r="D27" s="16"/>
      <c r="E27" s="16"/>
      <c r="F27" s="16"/>
      <c r="G27" s="16"/>
      <c r="H27" s="16"/>
      <c r="I27" s="16"/>
      <c r="K27" s="14"/>
      <c r="L27" s="16"/>
      <c r="N27" s="16"/>
      <c r="P27" s="16"/>
      <c r="R27" s="16"/>
    </row>
    <row r="28" spans="1:18">
      <c r="A28" s="16"/>
      <c r="B28"/>
      <c r="C28" s="16"/>
      <c r="D28" s="16"/>
      <c r="E28" s="16"/>
      <c r="F28" s="16"/>
      <c r="G28" s="16"/>
      <c r="H28" s="16"/>
      <c r="I28" s="16"/>
      <c r="K28" s="19"/>
      <c r="N28" s="16"/>
    </row>
    <row r="29" spans="1:18">
      <c r="A29" s="21" t="s">
        <v>26</v>
      </c>
      <c r="B29" s="22"/>
      <c r="C29" s="16"/>
      <c r="D29" s="16"/>
      <c r="E29" s="16"/>
      <c r="F29" s="16"/>
      <c r="G29" s="16"/>
      <c r="H29" s="16"/>
      <c r="I29" s="16"/>
      <c r="K29" s="16"/>
      <c r="N29" s="16"/>
    </row>
    <row r="30" spans="1:18">
      <c r="A30" s="23" t="s">
        <v>27</v>
      </c>
      <c r="B30" s="24"/>
      <c r="C30" s="16"/>
      <c r="D30" s="16"/>
      <c r="E30" s="16"/>
      <c r="F30" s="16"/>
      <c r="G30" s="16"/>
      <c r="H30" s="16"/>
      <c r="I30" s="16"/>
      <c r="K30" s="16"/>
      <c r="N30" s="16"/>
    </row>
    <row r="31" spans="1:18">
      <c r="A31" s="25" t="s">
        <v>28</v>
      </c>
      <c r="B31" s="26"/>
      <c r="C31" s="16"/>
      <c r="D31" s="16"/>
      <c r="E31" s="16"/>
      <c r="F31" s="16"/>
      <c r="G31" s="16"/>
      <c r="H31" s="16"/>
      <c r="I31" s="16"/>
      <c r="K31" s="16"/>
      <c r="N31" s="16"/>
    </row>
    <row r="32" spans="1:18">
      <c r="A32" s="16"/>
      <c r="B32"/>
      <c r="C32" s="16"/>
      <c r="D32" s="16"/>
      <c r="E32" s="16"/>
      <c r="F32" s="16"/>
      <c r="G32" s="16"/>
      <c r="H32" s="16"/>
      <c r="I32" s="16"/>
      <c r="K32" s="16"/>
      <c r="N32" s="16"/>
    </row>
    <row r="36" spans="1:21" ht="20.100000000000001">
      <c r="A36" s="9"/>
      <c r="B36"/>
    </row>
    <row r="37" spans="1:21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/>
    </row>
    <row r="43" spans="1:21">
      <c r="A43"/>
    </row>
    <row r="44" spans="1:21">
      <c r="A44"/>
    </row>
    <row r="45" spans="1:21">
      <c r="A45"/>
    </row>
    <row r="46" spans="1:21">
      <c r="A46"/>
    </row>
    <row r="47" spans="1:21">
      <c r="A47"/>
    </row>
    <row r="48" spans="1:21">
      <c r="A48"/>
    </row>
    <row r="49" spans="1:2">
      <c r="A49"/>
    </row>
    <row r="50" spans="1:2">
      <c r="A50"/>
    </row>
    <row r="51" spans="1:2">
      <c r="A51"/>
    </row>
    <row r="52" spans="1:2">
      <c r="A52"/>
    </row>
    <row r="53" spans="1:2">
      <c r="A53"/>
    </row>
    <row r="54" spans="1:2">
      <c r="A54"/>
    </row>
    <row r="55" spans="1:2">
      <c r="A55"/>
      <c r="B55"/>
    </row>
    <row r="56" spans="1:2">
      <c r="A56" s="10"/>
      <c r="B56" s="7"/>
    </row>
    <row r="57" spans="1:2">
      <c r="A57" s="2"/>
      <c r="B57" s="8"/>
    </row>
    <row r="58" spans="1:2">
      <c r="A58" s="11"/>
      <c r="B58" s="3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</sheetData>
  <phoneticPr fontId="1" type="noConversion"/>
  <pageMargins left="0.75" right="0.75" top="1" bottom="1" header="0.4921259845" footer="0.492125984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workbookViewId="0">
      <pane xSplit="2" ySplit="3" topLeftCell="F4" activePane="bottomRight" state="frozen"/>
      <selection pane="bottomRight" activeCell="P12" sqref="P12"/>
      <selection pane="bottomLeft" activeCell="E36" sqref="E36"/>
      <selection pane="topRight" activeCell="E36" sqref="E36"/>
    </sheetView>
  </sheetViews>
  <sheetFormatPr defaultColWidth="11.42578125" defaultRowHeight="12.95"/>
  <cols>
    <col min="1" max="1" width="12.7109375" customWidth="1"/>
    <col min="3" max="3" width="10.42578125" customWidth="1"/>
    <col min="4" max="4" width="12.28515625" bestFit="1" customWidth="1"/>
    <col min="5" max="5" width="12.42578125" customWidth="1"/>
    <col min="6" max="6" width="10.140625" customWidth="1"/>
    <col min="7" max="7" width="9.28515625" customWidth="1"/>
    <col min="8" max="8" width="8.28515625" customWidth="1"/>
    <col min="9" max="9" width="9.42578125" customWidth="1"/>
    <col min="11" max="11" width="11" customWidth="1"/>
    <col min="14" max="14" width="12.85546875" customWidth="1"/>
  </cols>
  <sheetData>
    <row r="1" spans="1:19" s="1" customFormat="1" ht="24.95">
      <c r="A1" s="12" t="s">
        <v>35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1:19" s="1" customFormat="1"/>
    <row r="3" spans="1:19" s="1" customFormat="1"/>
    <row r="4" spans="1:1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1</v>
      </c>
      <c r="N4" s="1"/>
      <c r="O4" s="1"/>
      <c r="P4" s="1"/>
      <c r="Q4" s="1"/>
      <c r="R4" s="1"/>
      <c r="S4" s="1"/>
    </row>
    <row r="5" spans="1:19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/>
      <c r="S5" s="1"/>
    </row>
    <row r="6" spans="1:19">
      <c r="A6" s="1"/>
      <c r="B6" s="1" t="s">
        <v>17</v>
      </c>
      <c r="C6" s="1"/>
      <c r="D6" s="1" t="s">
        <v>18</v>
      </c>
      <c r="E6" s="1" t="s">
        <v>19</v>
      </c>
      <c r="F6" s="1" t="s">
        <v>20</v>
      </c>
      <c r="G6" s="1" t="s">
        <v>21</v>
      </c>
      <c r="H6" s="1"/>
      <c r="I6" s="1"/>
      <c r="J6" s="1" t="s">
        <v>22</v>
      </c>
      <c r="K6" s="1" t="s">
        <v>23</v>
      </c>
      <c r="L6" s="1" t="s">
        <v>24</v>
      </c>
      <c r="M6" s="1" t="s">
        <v>23</v>
      </c>
      <c r="N6" s="1"/>
      <c r="O6" s="1"/>
      <c r="P6" s="1"/>
      <c r="Q6" s="1"/>
      <c r="R6" s="1"/>
      <c r="S6" s="1"/>
    </row>
    <row r="7" spans="1:19">
      <c r="B7" s="1" t="s">
        <v>25</v>
      </c>
    </row>
    <row r="8" spans="1:19">
      <c r="B8" s="1" t="s">
        <v>33</v>
      </c>
    </row>
    <row r="9" spans="1:19">
      <c r="B9" s="1">
        <v>1</v>
      </c>
    </row>
    <row r="10" spans="1:19">
      <c r="B10" s="1">
        <v>2</v>
      </c>
    </row>
    <row r="11" spans="1:19">
      <c r="B11" s="1">
        <v>3</v>
      </c>
    </row>
    <row r="12" spans="1:19">
      <c r="B12" s="1">
        <v>4</v>
      </c>
    </row>
    <row r="13" spans="1:19">
      <c r="B13" s="1"/>
    </row>
    <row r="14" spans="1:19">
      <c r="B14" s="1"/>
    </row>
    <row r="15" spans="1:19">
      <c r="B15" s="1"/>
    </row>
    <row r="16" spans="1:19">
      <c r="B16" s="1"/>
    </row>
    <row r="17" spans="1:5">
      <c r="B17" s="1"/>
    </row>
    <row r="18" spans="1:5">
      <c r="B18" s="1"/>
    </row>
    <row r="21" spans="1:5">
      <c r="A21" s="10" t="s">
        <v>26</v>
      </c>
      <c r="B21" s="7"/>
    </row>
    <row r="22" spans="1:5">
      <c r="A22" s="2" t="s">
        <v>27</v>
      </c>
      <c r="B22" s="8"/>
    </row>
    <row r="23" spans="1:5">
      <c r="A23" s="11" t="s">
        <v>28</v>
      </c>
      <c r="B23" s="3"/>
    </row>
    <row r="25" spans="1:5">
      <c r="E25" s="1"/>
    </row>
    <row r="26" spans="1:5">
      <c r="E26" s="1"/>
    </row>
  </sheetData>
  <phoneticPr fontId="1" type="noConversion"/>
  <pageMargins left="0.75" right="0.75" top="1" bottom="1" header="0.4921259845" footer="0.492125984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3"/>
  <sheetViews>
    <sheetView workbookViewId="0">
      <pane xSplit="2" ySplit="3" topLeftCell="G4" activePane="bottomRight" state="frozen"/>
      <selection pane="bottomRight" activeCell="K15" sqref="K15"/>
      <selection pane="bottomLeft" activeCell="E36" sqref="E36"/>
      <selection pane="topRight" activeCell="E36" sqref="E36"/>
    </sheetView>
  </sheetViews>
  <sheetFormatPr defaultColWidth="11.42578125" defaultRowHeight="12.95"/>
  <cols>
    <col min="1" max="1" width="12.7109375" customWidth="1"/>
    <col min="3" max="3" width="23.42578125" customWidth="1"/>
    <col min="4" max="4" width="10.140625" customWidth="1"/>
    <col min="5" max="5" width="15.42578125" customWidth="1"/>
    <col min="6" max="6" width="8.28515625" customWidth="1"/>
    <col min="7" max="7" width="9.42578125" customWidth="1"/>
    <col min="9" max="9" width="11" customWidth="1"/>
    <col min="13" max="13" width="12.85546875" customWidth="1"/>
  </cols>
  <sheetData>
    <row r="1" spans="1:18" s="1" customFormat="1" ht="24.95">
      <c r="A1" s="12" t="s">
        <v>36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spans="1:18" s="1" customFormat="1"/>
    <row r="3" spans="1:18" s="1" customFormat="1"/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1</v>
      </c>
      <c r="N4" s="1"/>
      <c r="O4" s="1"/>
      <c r="P4" s="1"/>
      <c r="Q4" s="1"/>
      <c r="R4" s="1"/>
    </row>
    <row r="5" spans="1:18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31</v>
      </c>
    </row>
    <row r="6" spans="1:18">
      <c r="A6" s="1"/>
      <c r="B6" s="1" t="s">
        <v>17</v>
      </c>
      <c r="C6" s="18" t="s">
        <v>37</v>
      </c>
      <c r="D6" s="1" t="s">
        <v>18</v>
      </c>
      <c r="E6" s="1" t="s">
        <v>19</v>
      </c>
      <c r="F6" s="1" t="s">
        <v>20</v>
      </c>
      <c r="G6" s="1" t="s">
        <v>21</v>
      </c>
      <c r="H6" s="1"/>
      <c r="I6" s="1"/>
      <c r="J6" s="1" t="s">
        <v>22</v>
      </c>
      <c r="K6" s="1" t="s">
        <v>23</v>
      </c>
      <c r="L6" s="1" t="s">
        <v>24</v>
      </c>
      <c r="M6" s="1" t="s">
        <v>23</v>
      </c>
      <c r="N6" s="1"/>
      <c r="O6" s="1"/>
      <c r="P6" s="1"/>
      <c r="Q6" s="1"/>
      <c r="R6" s="1"/>
    </row>
    <row r="7" spans="1:18">
      <c r="B7" s="1" t="s">
        <v>25</v>
      </c>
      <c r="D7">
        <v>10</v>
      </c>
    </row>
    <row r="8" spans="1:18">
      <c r="A8">
        <v>0</v>
      </c>
      <c r="B8" s="1" t="s">
        <v>33</v>
      </c>
      <c r="D8">
        <v>15.9</v>
      </c>
      <c r="E8">
        <v>13.6</v>
      </c>
      <c r="F8">
        <v>66.5</v>
      </c>
      <c r="G8">
        <v>6.5</v>
      </c>
      <c r="H8">
        <v>7.45</v>
      </c>
      <c r="I8" s="15"/>
      <c r="J8">
        <v>2</v>
      </c>
      <c r="K8" s="17">
        <v>113.1</v>
      </c>
      <c r="L8">
        <v>0.33800000000000002</v>
      </c>
      <c r="M8" s="14">
        <f>C41</f>
        <v>13.136166666666668</v>
      </c>
      <c r="N8">
        <v>0.03</v>
      </c>
      <c r="O8">
        <v>34</v>
      </c>
      <c r="P8">
        <v>0</v>
      </c>
      <c r="Q8">
        <v>0.4</v>
      </c>
      <c r="R8">
        <v>0.09</v>
      </c>
    </row>
    <row r="9" spans="1:18">
      <c r="A9">
        <f>-B9</f>
        <v>-1</v>
      </c>
      <c r="B9" s="1">
        <v>1</v>
      </c>
      <c r="D9">
        <v>15.7</v>
      </c>
      <c r="E9">
        <v>13.5</v>
      </c>
      <c r="F9">
        <v>64.5</v>
      </c>
      <c r="G9">
        <v>6.5</v>
      </c>
      <c r="H9">
        <v>6.66</v>
      </c>
      <c r="I9" s="15"/>
      <c r="J9">
        <v>3</v>
      </c>
      <c r="K9" s="17">
        <v>120.03</v>
      </c>
      <c r="L9">
        <v>0.33900000000000002</v>
      </c>
      <c r="M9" s="14">
        <f>C44</f>
        <v>14.035820000000001</v>
      </c>
      <c r="N9">
        <v>0.01</v>
      </c>
      <c r="O9">
        <v>14</v>
      </c>
      <c r="P9">
        <v>0</v>
      </c>
      <c r="Q9">
        <v>0.41</v>
      </c>
      <c r="R9">
        <v>0.08</v>
      </c>
    </row>
    <row r="10" spans="1:18">
      <c r="A10">
        <f t="shared" ref="A10:A15" si="0">-B10</f>
        <v>-2</v>
      </c>
      <c r="B10" s="1">
        <v>2</v>
      </c>
      <c r="D10">
        <v>15.5</v>
      </c>
      <c r="E10">
        <v>13.5</v>
      </c>
      <c r="F10">
        <v>63.5</v>
      </c>
      <c r="G10">
        <v>6.4</v>
      </c>
      <c r="H10">
        <v>6.27</v>
      </c>
      <c r="I10" s="15"/>
      <c r="J10">
        <v>1.5</v>
      </c>
      <c r="K10" s="17">
        <v>83.27</v>
      </c>
      <c r="L10">
        <v>0.34300000000000003</v>
      </c>
      <c r="M10" s="14">
        <f>C47</f>
        <v>12.156599999999999</v>
      </c>
      <c r="N10">
        <v>0.01</v>
      </c>
      <c r="O10">
        <v>18</v>
      </c>
      <c r="P10">
        <v>0</v>
      </c>
      <c r="Q10">
        <v>0.35</v>
      </c>
      <c r="R10">
        <v>0.04</v>
      </c>
    </row>
    <row r="11" spans="1:18">
      <c r="A11">
        <f t="shared" si="0"/>
        <v>-3</v>
      </c>
      <c r="B11" s="1">
        <v>3</v>
      </c>
      <c r="D11">
        <v>11.5</v>
      </c>
      <c r="E11">
        <v>13.1</v>
      </c>
      <c r="F11">
        <v>1</v>
      </c>
      <c r="G11">
        <v>0.11</v>
      </c>
      <c r="H11">
        <v>5.68</v>
      </c>
      <c r="I11" s="15"/>
      <c r="J11">
        <v>3</v>
      </c>
      <c r="K11" s="17">
        <v>445.71</v>
      </c>
      <c r="L11">
        <v>0.3</v>
      </c>
      <c r="M11" s="14">
        <f>C50</f>
        <v>17.1846</v>
      </c>
      <c r="N11">
        <v>0.01</v>
      </c>
      <c r="O11">
        <v>25</v>
      </c>
      <c r="P11">
        <v>0</v>
      </c>
      <c r="Q11">
        <v>0.38</v>
      </c>
      <c r="R11">
        <v>0.17</v>
      </c>
    </row>
    <row r="12" spans="1:18">
      <c r="A12">
        <f t="shared" si="0"/>
        <v>-4</v>
      </c>
      <c r="B12" s="1">
        <v>4</v>
      </c>
      <c r="D12">
        <v>7.6</v>
      </c>
      <c r="E12">
        <v>21.7</v>
      </c>
      <c r="F12">
        <v>0.9</v>
      </c>
      <c r="G12">
        <v>0.1</v>
      </c>
      <c r="H12">
        <v>5.41</v>
      </c>
      <c r="I12" s="15"/>
      <c r="J12">
        <v>6.5</v>
      </c>
      <c r="K12" s="17">
        <v>533.1</v>
      </c>
      <c r="L12">
        <v>3.57</v>
      </c>
      <c r="M12" s="14">
        <f>C53</f>
        <v>36.077000000000005</v>
      </c>
      <c r="N12">
        <v>0.01</v>
      </c>
      <c r="O12">
        <v>24</v>
      </c>
      <c r="P12">
        <v>1</v>
      </c>
      <c r="Q12">
        <v>0.39</v>
      </c>
      <c r="R12">
        <v>0.25</v>
      </c>
    </row>
    <row r="13" spans="1:18">
      <c r="A13">
        <f t="shared" si="0"/>
        <v>-5</v>
      </c>
      <c r="B13" s="1">
        <v>5</v>
      </c>
      <c r="D13">
        <v>5.8</v>
      </c>
      <c r="E13">
        <v>49.2</v>
      </c>
      <c r="F13">
        <v>0.8</v>
      </c>
      <c r="G13">
        <v>0.1</v>
      </c>
      <c r="H13">
        <v>5.36</v>
      </c>
      <c r="I13" s="15"/>
      <c r="J13">
        <v>25.5</v>
      </c>
      <c r="K13" s="17">
        <v>578.5</v>
      </c>
      <c r="L13">
        <v>0.373</v>
      </c>
      <c r="M13" s="14">
        <f>C56</f>
        <v>100.45123333333333</v>
      </c>
      <c r="N13">
        <v>0.36</v>
      </c>
      <c r="O13">
        <v>26</v>
      </c>
      <c r="P13">
        <v>0</v>
      </c>
      <c r="Q13">
        <v>0.38</v>
      </c>
      <c r="R13">
        <v>0.72</v>
      </c>
    </row>
    <row r="14" spans="1:18">
      <c r="A14">
        <f t="shared" si="0"/>
        <v>-6</v>
      </c>
      <c r="B14" s="1">
        <v>6</v>
      </c>
      <c r="D14">
        <v>5.3</v>
      </c>
      <c r="E14">
        <v>60.5</v>
      </c>
      <c r="F14">
        <v>0.7</v>
      </c>
      <c r="G14">
        <v>0.08</v>
      </c>
      <c r="H14">
        <v>5.43</v>
      </c>
      <c r="I14" s="15"/>
      <c r="J14">
        <v>23</v>
      </c>
      <c r="K14" s="17">
        <v>758.91</v>
      </c>
      <c r="L14">
        <v>0.38200000000000001</v>
      </c>
      <c r="M14" s="14">
        <f>C59</f>
        <v>91.304899999999989</v>
      </c>
      <c r="N14">
        <v>0.14000000000000001</v>
      </c>
      <c r="O14">
        <v>30</v>
      </c>
      <c r="P14">
        <v>0</v>
      </c>
      <c r="Q14">
        <v>0.42</v>
      </c>
      <c r="R14">
        <v>0.74</v>
      </c>
    </row>
    <row r="15" spans="1:18">
      <c r="A15">
        <f t="shared" si="0"/>
        <v>-7</v>
      </c>
      <c r="B15" s="1">
        <v>7</v>
      </c>
      <c r="D15">
        <v>5.3</v>
      </c>
      <c r="E15">
        <v>60.5</v>
      </c>
      <c r="F15">
        <v>0.9</v>
      </c>
      <c r="G15">
        <v>0.11</v>
      </c>
      <c r="H15">
        <v>5.51</v>
      </c>
      <c r="I15" s="15"/>
      <c r="J15">
        <v>25</v>
      </c>
      <c r="K15" s="17">
        <v>175.2</v>
      </c>
      <c r="L15">
        <v>0.40100000000000002</v>
      </c>
      <c r="M15" s="14">
        <f>C62</f>
        <v>135.93703333333335</v>
      </c>
      <c r="N15">
        <v>0.24</v>
      </c>
      <c r="O15">
        <v>28</v>
      </c>
      <c r="P15">
        <v>0</v>
      </c>
      <c r="Q15">
        <v>0.42</v>
      </c>
      <c r="R15">
        <v>0.74</v>
      </c>
    </row>
    <row r="16" spans="1:18">
      <c r="B16" s="1"/>
    </row>
    <row r="17" spans="1:2">
      <c r="B17" s="1"/>
    </row>
    <row r="18" spans="1:2">
      <c r="B18" s="1"/>
    </row>
    <row r="21" spans="1:2">
      <c r="A21" s="10" t="s">
        <v>26</v>
      </c>
      <c r="B21" s="7">
        <f>(1.6+1.3)/2</f>
        <v>1.4500000000000002</v>
      </c>
    </row>
    <row r="22" spans="1:2">
      <c r="A22" s="2" t="s">
        <v>27</v>
      </c>
      <c r="B22" s="8"/>
    </row>
    <row r="23" spans="1:2">
      <c r="A23" s="11" t="s">
        <v>28</v>
      </c>
      <c r="B23" s="3"/>
    </row>
    <row r="38" spans="3:5">
      <c r="C38" s="16" t="s">
        <v>38</v>
      </c>
    </row>
    <row r="39" spans="3:5">
      <c r="C39" s="16" t="s">
        <v>39</v>
      </c>
      <c r="D39" s="16" t="s">
        <v>40</v>
      </c>
      <c r="E39" s="16" t="s">
        <v>41</v>
      </c>
    </row>
    <row r="40" spans="3:5">
      <c r="C40" s="16" t="s">
        <v>42</v>
      </c>
      <c r="D40">
        <v>1</v>
      </c>
      <c r="E40">
        <v>12.8363</v>
      </c>
    </row>
    <row r="41" spans="3:5">
      <c r="C41">
        <f>AVERAGE(E40:E42)</f>
        <v>13.136166666666668</v>
      </c>
      <c r="D41">
        <v>2</v>
      </c>
      <c r="E41">
        <v>14.0358</v>
      </c>
    </row>
    <row r="42" spans="3:5">
      <c r="D42">
        <v>3</v>
      </c>
      <c r="E42">
        <v>12.5364</v>
      </c>
    </row>
    <row r="43" spans="3:5">
      <c r="C43">
        <v>1</v>
      </c>
      <c r="D43">
        <v>1</v>
      </c>
      <c r="E43">
        <v>15.68516</v>
      </c>
    </row>
    <row r="44" spans="3:5">
      <c r="C44">
        <f>AVERAGE(E43:E45)</f>
        <v>14.035820000000001</v>
      </c>
      <c r="D44">
        <v>2</v>
      </c>
      <c r="E44">
        <v>13.286099999999999</v>
      </c>
    </row>
    <row r="45" spans="3:5">
      <c r="D45">
        <v>3</v>
      </c>
      <c r="E45">
        <v>13.136200000000001</v>
      </c>
    </row>
    <row r="46" spans="3:5">
      <c r="C46">
        <v>2</v>
      </c>
      <c r="D46">
        <v>1</v>
      </c>
      <c r="E46">
        <v>11.9367</v>
      </c>
    </row>
    <row r="47" spans="3:5">
      <c r="C47">
        <f>AVERAGE(E46:E48)</f>
        <v>12.156599999999999</v>
      </c>
      <c r="D47">
        <v>2</v>
      </c>
      <c r="E47">
        <v>12.686299999999999</v>
      </c>
    </row>
    <row r="48" spans="3:5">
      <c r="D48">
        <v>3</v>
      </c>
      <c r="E48">
        <v>11.8468</v>
      </c>
    </row>
    <row r="49" spans="3:5">
      <c r="C49">
        <v>3</v>
      </c>
      <c r="D49">
        <v>1</v>
      </c>
      <c r="E49">
        <v>17.1846</v>
      </c>
    </row>
    <row r="50" spans="3:5">
      <c r="C50">
        <f>E49</f>
        <v>17.1846</v>
      </c>
      <c r="D50">
        <v>2</v>
      </c>
      <c r="E50" s="16" t="s">
        <v>43</v>
      </c>
    </row>
    <row r="51" spans="3:5">
      <c r="D51">
        <v>3</v>
      </c>
      <c r="E51" s="16" t="s">
        <v>43</v>
      </c>
    </row>
    <row r="52" spans="3:5">
      <c r="C52">
        <v>4</v>
      </c>
      <c r="D52">
        <v>1</v>
      </c>
      <c r="E52" s="16">
        <v>35.477200000000003</v>
      </c>
    </row>
    <row r="53" spans="3:5">
      <c r="C53">
        <f>AVERAGE(E52:E54)</f>
        <v>36.077000000000005</v>
      </c>
      <c r="D53">
        <v>2</v>
      </c>
      <c r="E53" s="16">
        <v>35.927100000000003</v>
      </c>
    </row>
    <row r="54" spans="3:5">
      <c r="D54">
        <v>3</v>
      </c>
      <c r="E54" s="16">
        <v>36.826700000000002</v>
      </c>
    </row>
    <row r="55" spans="3:5">
      <c r="C55">
        <v>5</v>
      </c>
      <c r="D55">
        <v>1</v>
      </c>
      <c r="E55" s="16">
        <v>96.952600000000004</v>
      </c>
    </row>
    <row r="56" spans="3:5">
      <c r="C56">
        <f>AVERAGE(E55:E57)</f>
        <v>100.45123333333333</v>
      </c>
      <c r="D56">
        <v>2</v>
      </c>
      <c r="E56" s="16">
        <v>100.55119999999999</v>
      </c>
    </row>
    <row r="57" spans="3:5">
      <c r="D57">
        <v>3</v>
      </c>
      <c r="E57" s="16">
        <v>103.84990000000001</v>
      </c>
    </row>
    <row r="58" spans="3:5">
      <c r="C58">
        <v>6</v>
      </c>
      <c r="D58">
        <v>1</v>
      </c>
      <c r="E58" s="16">
        <v>90.055400000000006</v>
      </c>
    </row>
    <row r="59" spans="3:5">
      <c r="C59">
        <f>AVERAGE(E58:E60)</f>
        <v>91.304899999999989</v>
      </c>
      <c r="D59">
        <v>2</v>
      </c>
      <c r="E59" s="16">
        <v>93.054199999999994</v>
      </c>
    </row>
    <row r="60" spans="3:5">
      <c r="D60">
        <v>3</v>
      </c>
      <c r="E60" s="16">
        <v>90.805099999999996</v>
      </c>
    </row>
    <row r="61" spans="3:5">
      <c r="C61">
        <v>7</v>
      </c>
      <c r="D61">
        <v>1</v>
      </c>
      <c r="E61" s="16">
        <v>133.98779999999999</v>
      </c>
    </row>
    <row r="62" spans="3:5">
      <c r="C62">
        <f>AVERAGE(E61:E63)</f>
        <v>135.93703333333335</v>
      </c>
      <c r="D62">
        <v>2</v>
      </c>
      <c r="E62" s="16">
        <v>137.28649999999999</v>
      </c>
    </row>
    <row r="63" spans="3:5">
      <c r="D63">
        <v>3</v>
      </c>
      <c r="E63" s="16">
        <v>136.5368</v>
      </c>
    </row>
  </sheetData>
  <phoneticPr fontId="1" type="noConversion"/>
  <pageMargins left="0.75" right="0.75" top="1" bottom="1" header="0.4921259845" footer="0.492125984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Université de Montréal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étudiant</dc:creator>
  <cp:keywords/>
  <dc:description/>
  <cp:lastModifiedBy/>
  <cp:revision/>
  <dcterms:created xsi:type="dcterms:W3CDTF">2008-09-21T12:21:20Z</dcterms:created>
  <dcterms:modified xsi:type="dcterms:W3CDTF">2026-05-08T18:18:04Z</dcterms:modified>
  <cp:category/>
  <cp:contentStatus/>
</cp:coreProperties>
</file>